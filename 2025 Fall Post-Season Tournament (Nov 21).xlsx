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bclaude\"/>
    </mc:Choice>
  </mc:AlternateContent>
  <xr:revisionPtr revIDLastSave="0" documentId="13_ncr:1_{C011AB87-FA89-4209-942C-C71DFB90AF3E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Seedings " sheetId="2" state="hidden" r:id="rId1"/>
    <sheet name="Documentation" sheetId="3" state="hidden" r:id="rId2"/>
    <sheet name="PostSeason Tmt" sheetId="1" r:id="rId3"/>
  </sheets>
  <definedNames>
    <definedName name="_xlnm.Print_Area" localSheetId="1">Documentation!$B$4:$J$25</definedName>
    <definedName name="_xlnm.Print_Area" localSheetId="2">'PostSeason Tmt'!$B$1:$M$47</definedName>
    <definedName name="_xlnm.Print_Area" localSheetId="0">'Seedings '!$B$3:$R$16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G24" i="3"/>
  <c r="S22" i="3"/>
  <c r="R22" i="3"/>
  <c r="S21" i="3"/>
  <c r="R21" i="3"/>
  <c r="S18" i="3"/>
  <c r="R18" i="3"/>
  <c r="S17" i="3"/>
  <c r="S19" i="3" s="1"/>
  <c r="R17" i="3"/>
  <c r="S12" i="3"/>
  <c r="R12" i="3"/>
  <c r="S11" i="3"/>
  <c r="R11" i="3"/>
  <c r="J6" i="3"/>
  <c r="I6" i="3"/>
  <c r="I24" i="3" s="1"/>
  <c r="S8" i="3"/>
  <c r="R8" i="3"/>
  <c r="R7" i="3"/>
  <c r="S7" i="3"/>
  <c r="S6" i="3"/>
  <c r="R6" i="3"/>
  <c r="J24" i="3"/>
  <c r="R23" i="3" l="1"/>
  <c r="S23" i="3"/>
  <c r="R19" i="3"/>
  <c r="R13" i="3"/>
  <c r="S13" i="3"/>
</calcChain>
</file>

<file path=xl/sharedStrings.xml><?xml version="1.0" encoding="utf-8"?>
<sst xmlns="http://schemas.openxmlformats.org/spreadsheetml/2006/main" count="115" uniqueCount="92">
  <si>
    <t>Champions</t>
  </si>
  <si>
    <t>BYE</t>
  </si>
  <si>
    <t>Seed values are shown to the left of each team's name. The team that is the highest seed (lower seed number) is always the home team.</t>
  </si>
  <si>
    <t>Regular Season &amp; Playoff Tie-Breaker Rules</t>
  </si>
  <si>
    <t>4 – If teams are still tied, then the team with the least number of runs given up against all teams shall determine the winner.</t>
  </si>
  <si>
    <t>5 – If teams are still tied, the run differential against all teams will determine the winner.</t>
  </si>
  <si>
    <t>6 - If the teams are still tied, a coin flip will determine the highest seed.</t>
  </si>
  <si>
    <r>
      <t xml:space="preserve">2 - If there is a tie in the regular season winning percentage, head to head competition </t>
    </r>
    <r>
      <rPr>
        <sz val="11"/>
        <color rgb="FFFF0000"/>
        <rFont val="Calibri"/>
        <family val="2"/>
      </rPr>
      <t>amongst the tied teams</t>
    </r>
    <r>
      <rPr>
        <sz val="11"/>
        <color rgb="FF000000"/>
        <rFont val="Calibri"/>
        <family val="2"/>
      </rPr>
      <t xml:space="preserve"> will determine the higher seed.</t>
    </r>
  </si>
  <si>
    <r>
      <t xml:space="preserve">3 - If the teams are still tied, run differential (head to head) </t>
    </r>
    <r>
      <rPr>
        <sz val="11"/>
        <color rgb="FFFF0000"/>
        <rFont val="Calibri"/>
        <family val="2"/>
      </rPr>
      <t>amongst the tied teams</t>
    </r>
    <r>
      <rPr>
        <sz val="11"/>
        <color rgb="FF000000"/>
        <rFont val="Calibri"/>
        <family val="2"/>
      </rPr>
      <t xml:space="preserve"> will determine the higher seed</t>
    </r>
  </si>
  <si>
    <t>1 - Regular season standings and playoff seeds are determined by each team's winning percentage in the regular season</t>
  </si>
  <si>
    <t>9AM, Field 2</t>
  </si>
  <si>
    <t>9AM Field 4</t>
  </si>
  <si>
    <t>10:30AM Field 2</t>
  </si>
  <si>
    <t>10:30AM Field 4</t>
  </si>
  <si>
    <t>9AM Field 2</t>
  </si>
  <si>
    <t>Second Round
December 3</t>
  </si>
  <si>
    <t>#7 Norsemen</t>
  </si>
  <si>
    <t>Semi-Finals
December 5</t>
  </si>
  <si>
    <t>Championship
December 10</t>
  </si>
  <si>
    <t>9:30AM Field 4</t>
  </si>
  <si>
    <t>Division One Fall 2025 Post Season Tournament</t>
  </si>
  <si>
    <t>Clippers</t>
  </si>
  <si>
    <t>Clippers and Sandlot split ( total runs Sandlot 43-41 (16-13, 27-28)</t>
  </si>
  <si>
    <t>The Sandlot</t>
  </si>
  <si>
    <t>Stars</t>
  </si>
  <si>
    <t>Norsemen</t>
  </si>
  <si>
    <t>Bad News Bears</t>
  </si>
  <si>
    <t>Lightning Strikes</t>
  </si>
  <si>
    <t>Shorebirds</t>
  </si>
  <si>
    <t>Warhawks</t>
  </si>
  <si>
    <t>Warhawks and Rebels spilt - total runs - Warhawks 23-19 (11-6, 12-13)</t>
  </si>
  <si>
    <t>Rebels</t>
  </si>
  <si>
    <t>Xtreme</t>
  </si>
  <si>
    <t>-</t>
  </si>
  <si>
    <t>Buckeyes</t>
  </si>
  <si>
    <t>Raptors</t>
  </si>
  <si>
    <t>Diff</t>
  </si>
  <si>
    <t>RA</t>
  </si>
  <si>
    <t>RF</t>
  </si>
  <si>
    <t>GB</t>
  </si>
  <si>
    <t>Pct</t>
  </si>
  <si>
    <t>T</t>
  </si>
  <si>
    <t>L</t>
  </si>
  <si>
    <t>W</t>
  </si>
  <si>
    <t>Team</t>
  </si>
  <si>
    <t>16 - 9</t>
  </si>
  <si>
    <t>5 - 14</t>
  </si>
  <si>
    <t>21 - 17</t>
  </si>
  <si>
    <t>13 - 9</t>
  </si>
  <si>
    <t>15 - 16</t>
  </si>
  <si>
    <t>13 - 17</t>
  </si>
  <si>
    <t>17 - 24</t>
  </si>
  <si>
    <t>17 - 13</t>
  </si>
  <si>
    <t>14 - 13</t>
  </si>
  <si>
    <t>18 - 19</t>
  </si>
  <si>
    <t>13 - 14</t>
  </si>
  <si>
    <t>19 - 18</t>
  </si>
  <si>
    <t>15 - 19</t>
  </si>
  <si>
    <t>21 - 11</t>
  </si>
  <si>
    <t>24 - 17</t>
  </si>
  <si>
    <t>11 - 21</t>
  </si>
  <si>
    <t>19 - 15</t>
  </si>
  <si>
    <t>9 - 16</t>
  </si>
  <si>
    <t>14 - 5</t>
  </si>
  <si>
    <t>17 - 21</t>
  </si>
  <si>
    <t>16 - 15</t>
  </si>
  <si>
    <t>9 - 13</t>
  </si>
  <si>
    <t>Norsemen were  4- 2 - Lightning and Bad News were each 3 - 3. They split head to head. Bad News Bears have edge runs margin (head to head 23-21 and 82-83 vs 87-92 against all other teams they're tied with. Stars were 2 - 4.</t>
  </si>
  <si>
    <t>#1 Raptors</t>
  </si>
  <si>
    <t>#2 Buckeyes</t>
  </si>
  <si>
    <t>#3 Xtreme</t>
  </si>
  <si>
    <t>#4 Rebels</t>
  </si>
  <si>
    <t>First Round
November 26</t>
  </si>
  <si>
    <t>#8  Bad News Bears 16</t>
  </si>
  <si>
    <t>#9 Lightning Strikes 9</t>
  </si>
  <si>
    <t>#5 Warhawks 10</t>
  </si>
  <si>
    <t>#12 Clippers 20</t>
  </si>
  <si>
    <t>#7 Norsemen 30</t>
  </si>
  <si>
    <t>#10 Stars 25</t>
  </si>
  <si>
    <t>#6 Shorebirds 9</t>
  </si>
  <si>
    <t>#11 The Sandlot 7</t>
  </si>
  <si>
    <t>#1 Raptors 16</t>
  </si>
  <si>
    <t># 8 Bad News Bears 15</t>
  </si>
  <si>
    <t>#4 Rebels 17</t>
  </si>
  <si>
    <t>#2 Buckeyes 6</t>
  </si>
  <si>
    <t>#7 Norsemen 17</t>
  </si>
  <si>
    <t>#3 Xtreme 18</t>
  </si>
  <si>
    <t>#6 Shorebirds 19</t>
  </si>
  <si>
    <t>#1 Raptors 18</t>
  </si>
  <si>
    <t>#12 Clippers 12</t>
  </si>
  <si>
    <t>#7 Norsemen 22</t>
  </si>
  <si>
    <t>#6 Shorebirds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</si>
</sst>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mmm\-dd"/>
  </numFmts>
  <fonts count="19">
    <font>
      <sz val="11"/>
      <color theme="1"/>
      <name val="Calibri"/>
      <family val="2"/>
      <scheme val="minor"/>
    </font>
    <font>
      <sz val="14"/>
      <color theme="1"/>
      <name val="Book Antiqu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name val="Cambria"/>
      <family val="1"/>
      <scheme val="major"/>
    </font>
    <font>
      <sz val="14"/>
      <color theme="1"/>
      <name val="Calibri"/>
      <family val="2"/>
      <scheme val="minor"/>
    </font>
    <font>
      <sz val="14"/>
      <color theme="1"/>
      <name val="Alfa Slab One"/>
    </font>
    <font>
      <b/>
      <sz val="14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26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6"/>
      <color rgb="FF333333"/>
      <name val="Segoe UI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Segoe U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EEEEEE"/>
      </bottom>
      <diagonal/>
    </border>
  </borders>
  <cellStyleXfs count="4">
    <xf numFmtId="0" fontId="0" fillId="0" borderId="0"/>
    <xf numFmtId="164" fontId="9" fillId="0" borderId="0" applyBorder="0" applyProtection="0"/>
    <xf numFmtId="0" fontId="2" fillId="0" borderId="0"/>
    <xf numFmtId="0" fontId="16" fillId="0" borderId="0" applyNumberFormat="0" applyFill="0" applyBorder="0" applyAlignment="0" applyProtection="0"/>
  </cellStyleXfs>
  <cellXfs count="73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5" fillId="2" borderId="1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1" fillId="2" borderId="0" xfId="0" applyFont="1" applyFill="1" applyAlignment="1">
      <alignment vertical="top"/>
    </xf>
    <xf numFmtId="0" fontId="1" fillId="2" borderId="4" xfId="0" applyFont="1" applyFill="1" applyBorder="1" applyAlignment="1">
      <alignment vertical="top"/>
    </xf>
    <xf numFmtId="0" fontId="5" fillId="2" borderId="7" xfId="0" applyFont="1" applyFill="1" applyBorder="1"/>
    <xf numFmtId="0" fontId="5" fillId="2" borderId="6" xfId="0" applyFont="1" applyFill="1" applyBorder="1"/>
    <xf numFmtId="0" fontId="1" fillId="2" borderId="0" xfId="0" applyFont="1" applyFill="1"/>
    <xf numFmtId="0" fontId="4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165" fontId="9" fillId="3" borderId="9" xfId="1" applyNumberFormat="1" applyFill="1" applyBorder="1" applyAlignment="1">
      <alignment horizontal="left" vertical="center"/>
    </xf>
    <xf numFmtId="165" fontId="9" fillId="3" borderId="5" xfId="1" applyNumberFormat="1" applyFill="1" applyBorder="1" applyAlignment="1">
      <alignment horizontal="center" vertical="center"/>
    </xf>
    <xf numFmtId="0" fontId="2" fillId="3" borderId="5" xfId="2" applyFill="1" applyBorder="1" applyAlignment="1">
      <alignment horizontal="center" vertical="center"/>
    </xf>
    <xf numFmtId="0" fontId="2" fillId="3" borderId="10" xfId="2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2" borderId="16" xfId="0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0" fontId="7" fillId="2" borderId="3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1" fillId="2" borderId="7" xfId="0" applyFont="1" applyFill="1" applyBorder="1" applyAlignment="1">
      <alignment vertical="top"/>
    </xf>
    <xf numFmtId="0" fontId="7" fillId="2" borderId="20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 applyAlignment="1">
      <alignment horizontal="left" vertical="center" wrapText="1" indent="1"/>
    </xf>
    <xf numFmtId="0" fontId="14" fillId="0" borderId="0" xfId="3" applyFont="1" applyBorder="1" applyAlignment="1">
      <alignment horizontal="left" vertical="center" wrapText="1" indent="1"/>
    </xf>
    <xf numFmtId="0" fontId="17" fillId="0" borderId="0" xfId="0" applyFont="1" applyAlignment="1">
      <alignment horizontal="left" vertical="center" wrapText="1" indent="1"/>
    </xf>
    <xf numFmtId="0" fontId="18" fillId="0" borderId="0" xfId="3" applyFont="1" applyBorder="1" applyAlignment="1">
      <alignment horizontal="left" vertical="center" wrapText="1" indent="1"/>
    </xf>
    <xf numFmtId="0" fontId="17" fillId="4" borderId="0" xfId="0" applyFont="1" applyFill="1" applyAlignment="1">
      <alignment horizontal="left" vertical="center" wrapText="1" indent="1"/>
    </xf>
    <xf numFmtId="0" fontId="17" fillId="4" borderId="21" xfId="0" applyFont="1" applyFill="1" applyBorder="1" applyAlignment="1">
      <alignment horizontal="left" vertical="center" wrapText="1" indent="1"/>
    </xf>
    <xf numFmtId="0" fontId="18" fillId="4" borderId="21" xfId="3" applyFont="1" applyFill="1" applyBorder="1" applyAlignment="1">
      <alignment horizontal="left" vertical="center" wrapText="1" indent="1"/>
    </xf>
    <xf numFmtId="0" fontId="17" fillId="0" borderId="21" xfId="0" applyFont="1" applyBorder="1" applyAlignment="1">
      <alignment horizontal="left" vertical="center" wrapText="1" indent="1"/>
    </xf>
    <xf numFmtId="0" fontId="18" fillId="0" borderId="21" xfId="3" applyFont="1" applyBorder="1" applyAlignment="1">
      <alignment horizontal="left" vertical="center" wrapText="1" indent="1"/>
    </xf>
    <xf numFmtId="0" fontId="13" fillId="0" borderId="0" xfId="0" applyFont="1"/>
    <xf numFmtId="0" fontId="17" fillId="5" borderId="2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0" fontId="13" fillId="0" borderId="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65" fontId="10" fillId="3" borderId="9" xfId="1" applyNumberFormat="1" applyFont="1" applyFill="1" applyBorder="1" applyAlignment="1">
      <alignment horizontal="center" vertical="center"/>
    </xf>
    <xf numFmtId="165" fontId="10" fillId="3" borderId="5" xfId="1" applyNumberFormat="1" applyFont="1" applyFill="1" applyBorder="1" applyAlignment="1">
      <alignment horizontal="center" vertical="center"/>
    </xf>
    <xf numFmtId="165" fontId="10" fillId="3" borderId="10" xfId="1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</cellXfs>
  <cellStyles count="4">
    <cellStyle name="Excel Built-in Normal" xfId="1" xr:uid="{A7B63DB5-48FF-41CD-B6A7-20AA1494C201}"/>
    <cellStyle name="Hyperlink" xfId="3" builtinId="8"/>
    <cellStyle name="Normal" xfId="0" builtinId="0"/>
    <cellStyle name="Normal 13" xfId="2" xr:uid="{9CD78A33-DEB5-410F-8F8B-6A8017D606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llagesd1softball.onrender.com/team/529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villagesd1softball.onrender.com/team/530" TargetMode="External"/><Relationship Id="rId7" Type="http://schemas.openxmlformats.org/officeDocument/2006/relationships/hyperlink" Target="https://villagesd1softball.onrender.com/team/532" TargetMode="External"/><Relationship Id="rId12" Type="http://schemas.openxmlformats.org/officeDocument/2006/relationships/hyperlink" Target="https://villagesd1softball.onrender.com/team/527" TargetMode="External"/><Relationship Id="rId2" Type="http://schemas.openxmlformats.org/officeDocument/2006/relationships/hyperlink" Target="https://villagesd1softball.onrender.com/team/534" TargetMode="External"/><Relationship Id="rId1" Type="http://schemas.openxmlformats.org/officeDocument/2006/relationships/hyperlink" Target="https://villagesd1softball.onrender.com/team/531" TargetMode="External"/><Relationship Id="rId6" Type="http://schemas.openxmlformats.org/officeDocument/2006/relationships/hyperlink" Target="https://villagesd1softball.onrender.com/team/535" TargetMode="External"/><Relationship Id="rId11" Type="http://schemas.openxmlformats.org/officeDocument/2006/relationships/hyperlink" Target="https://villagesd1softball.onrender.com/team/536" TargetMode="External"/><Relationship Id="rId5" Type="http://schemas.openxmlformats.org/officeDocument/2006/relationships/hyperlink" Target="https://villagesd1softball.onrender.com/team/528" TargetMode="External"/><Relationship Id="rId10" Type="http://schemas.openxmlformats.org/officeDocument/2006/relationships/hyperlink" Target="https://villagesd1softball.onrender.com/team/526" TargetMode="External"/><Relationship Id="rId4" Type="http://schemas.openxmlformats.org/officeDocument/2006/relationships/hyperlink" Target="https://villagesd1softball.onrender.com/team/533" TargetMode="External"/><Relationship Id="rId9" Type="http://schemas.openxmlformats.org/officeDocument/2006/relationships/hyperlink" Target="https://villagesd1softball.onrender.com/team/53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BA42-B846-4CFA-A485-31B8E729774C}">
  <sheetPr>
    <pageSetUpPr fitToPage="1"/>
  </sheetPr>
  <dimension ref="B3:R18"/>
  <sheetViews>
    <sheetView workbookViewId="0">
      <selection activeCell="B4" sqref="B4:J25"/>
    </sheetView>
  </sheetViews>
  <sheetFormatPr defaultRowHeight="15"/>
  <cols>
    <col min="2" max="2" width="40.7109375" customWidth="1"/>
    <col min="3" max="5" width="9.28515625" bestFit="1" customWidth="1"/>
    <col min="6" max="6" width="9.5703125" bestFit="1" customWidth="1"/>
    <col min="7" max="10" width="9.28515625" bestFit="1" customWidth="1"/>
  </cols>
  <sheetData>
    <row r="3" spans="2:18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</row>
    <row r="4" spans="2:18" ht="21" thickBot="1">
      <c r="B4" s="49" t="s">
        <v>44</v>
      </c>
      <c r="C4" s="49" t="s">
        <v>43</v>
      </c>
      <c r="D4" s="49" t="s">
        <v>42</v>
      </c>
      <c r="E4" s="49" t="s">
        <v>41</v>
      </c>
      <c r="F4" s="49" t="s">
        <v>40</v>
      </c>
      <c r="G4" s="49" t="s">
        <v>39</v>
      </c>
      <c r="H4" s="49" t="s">
        <v>38</v>
      </c>
      <c r="I4" s="49" t="s">
        <v>37</v>
      </c>
      <c r="J4" s="49" t="s">
        <v>36</v>
      </c>
      <c r="K4" s="48"/>
      <c r="L4" s="48"/>
      <c r="M4" s="48"/>
      <c r="N4" s="48"/>
      <c r="O4" s="48"/>
      <c r="P4" s="48"/>
      <c r="Q4" s="48"/>
      <c r="R4" s="48"/>
    </row>
    <row r="5" spans="2:18" ht="30" customHeight="1" thickBot="1">
      <c r="B5" s="45" t="s">
        <v>35</v>
      </c>
      <c r="C5" s="44">
        <v>17</v>
      </c>
      <c r="D5" s="44">
        <v>5</v>
      </c>
      <c r="E5" s="44">
        <v>0</v>
      </c>
      <c r="F5" s="44">
        <v>0.76200000000000001</v>
      </c>
      <c r="G5" s="44" t="s">
        <v>33</v>
      </c>
      <c r="H5" s="44">
        <v>346</v>
      </c>
      <c r="I5" s="44">
        <v>281</v>
      </c>
      <c r="J5" s="44">
        <v>65</v>
      </c>
      <c r="K5" s="43">
        <v>1</v>
      </c>
      <c r="L5" s="48"/>
      <c r="M5" s="48"/>
      <c r="N5" s="48"/>
      <c r="O5" s="48"/>
      <c r="P5" s="48"/>
      <c r="Q5" s="48"/>
      <c r="R5" s="48"/>
    </row>
    <row r="6" spans="2:18" ht="30" customHeight="1" thickBot="1">
      <c r="B6" s="47" t="s">
        <v>34</v>
      </c>
      <c r="C6" s="46">
        <v>16</v>
      </c>
      <c r="D6" s="46">
        <v>6</v>
      </c>
      <c r="E6" s="46">
        <v>0</v>
      </c>
      <c r="F6" s="46">
        <v>0.76200000000000001</v>
      </c>
      <c r="G6" s="46" t="s">
        <v>33</v>
      </c>
      <c r="H6" s="46">
        <v>352</v>
      </c>
      <c r="I6" s="46">
        <v>318</v>
      </c>
      <c r="J6" s="46">
        <v>34</v>
      </c>
      <c r="K6" s="41">
        <v>2</v>
      </c>
      <c r="L6" s="48"/>
      <c r="M6" s="48"/>
      <c r="N6" s="48"/>
      <c r="O6" s="48"/>
      <c r="P6" s="48"/>
      <c r="Q6" s="48"/>
      <c r="R6" s="48"/>
    </row>
    <row r="7" spans="2:18" ht="30" customHeight="1" thickBot="1">
      <c r="B7" s="45" t="s">
        <v>32</v>
      </c>
      <c r="C7" s="44">
        <v>13</v>
      </c>
      <c r="D7" s="44">
        <v>9</v>
      </c>
      <c r="E7" s="44">
        <v>0</v>
      </c>
      <c r="F7" s="44">
        <v>0.57099999999999995</v>
      </c>
      <c r="G7" s="44">
        <v>4</v>
      </c>
      <c r="H7" s="44">
        <v>356</v>
      </c>
      <c r="I7" s="44">
        <v>329</v>
      </c>
      <c r="J7" s="44">
        <v>27</v>
      </c>
      <c r="K7" s="43">
        <v>3</v>
      </c>
      <c r="L7" s="48"/>
      <c r="M7" s="48"/>
      <c r="N7" s="48"/>
      <c r="O7" s="48"/>
      <c r="P7" s="48"/>
      <c r="Q7" s="48"/>
      <c r="R7" s="48"/>
    </row>
    <row r="8" spans="2:18" ht="30" customHeight="1" thickBot="1">
      <c r="B8" s="47" t="s">
        <v>31</v>
      </c>
      <c r="C8" s="46">
        <v>12</v>
      </c>
      <c r="D8" s="46">
        <v>10</v>
      </c>
      <c r="E8" s="46">
        <v>0</v>
      </c>
      <c r="F8" s="46">
        <v>0.52400000000000002</v>
      </c>
      <c r="G8" s="46">
        <v>5</v>
      </c>
      <c r="H8" s="46">
        <v>333</v>
      </c>
      <c r="I8" s="46">
        <v>305</v>
      </c>
      <c r="J8" s="46">
        <v>28</v>
      </c>
      <c r="K8" s="41">
        <v>5</v>
      </c>
      <c r="L8" s="54" t="s">
        <v>30</v>
      </c>
      <c r="M8" s="55"/>
      <c r="N8" s="55"/>
      <c r="O8" s="55"/>
      <c r="P8" s="55"/>
      <c r="Q8" s="55"/>
      <c r="R8" s="56"/>
    </row>
    <row r="9" spans="2:18" ht="30" customHeight="1" thickBot="1">
      <c r="B9" s="45" t="s">
        <v>29</v>
      </c>
      <c r="C9" s="44">
        <v>12</v>
      </c>
      <c r="D9" s="44">
        <v>10</v>
      </c>
      <c r="E9" s="44">
        <v>0</v>
      </c>
      <c r="F9" s="44">
        <v>0.52400000000000002</v>
      </c>
      <c r="G9" s="44">
        <v>5</v>
      </c>
      <c r="H9" s="44">
        <v>298</v>
      </c>
      <c r="I9" s="44">
        <v>322</v>
      </c>
      <c r="J9" s="44">
        <v>-24</v>
      </c>
      <c r="K9" s="43">
        <v>4</v>
      </c>
      <c r="L9" s="60"/>
      <c r="M9" s="61"/>
      <c r="N9" s="61"/>
      <c r="O9" s="61"/>
      <c r="P9" s="61"/>
      <c r="Q9" s="61"/>
      <c r="R9" s="62"/>
    </row>
    <row r="10" spans="2:18" ht="30" customHeight="1" thickBot="1">
      <c r="B10" s="47" t="s">
        <v>28</v>
      </c>
      <c r="C10" s="46">
        <v>10</v>
      </c>
      <c r="D10" s="46">
        <v>12</v>
      </c>
      <c r="E10" s="46">
        <v>0</v>
      </c>
      <c r="F10" s="46">
        <v>0.42899999999999999</v>
      </c>
      <c r="G10" s="46">
        <v>7</v>
      </c>
      <c r="H10" s="46">
        <v>308</v>
      </c>
      <c r="I10" s="46">
        <v>296</v>
      </c>
      <c r="J10" s="46">
        <v>12</v>
      </c>
      <c r="K10" s="41">
        <v>6</v>
      </c>
      <c r="L10" s="48"/>
      <c r="M10" s="48"/>
      <c r="N10" s="48"/>
      <c r="O10" s="48"/>
      <c r="P10" s="48"/>
      <c r="Q10" s="48"/>
      <c r="R10" s="48"/>
    </row>
    <row r="11" spans="2:18" ht="30" customHeight="1" thickBot="1">
      <c r="B11" s="45" t="s">
        <v>27</v>
      </c>
      <c r="C11" s="44">
        <v>9</v>
      </c>
      <c r="D11" s="44">
        <v>13</v>
      </c>
      <c r="E11" s="44">
        <v>0</v>
      </c>
      <c r="F11" s="44">
        <v>0.42899999999999999</v>
      </c>
      <c r="G11" s="44">
        <v>7</v>
      </c>
      <c r="H11" s="44">
        <v>318</v>
      </c>
      <c r="I11" s="44">
        <v>325</v>
      </c>
      <c r="J11" s="44">
        <v>-7</v>
      </c>
      <c r="K11" s="43">
        <v>9</v>
      </c>
      <c r="L11" s="54" t="s">
        <v>67</v>
      </c>
      <c r="M11" s="55"/>
      <c r="N11" s="55"/>
      <c r="O11" s="55"/>
      <c r="P11" s="55"/>
      <c r="Q11" s="55"/>
      <c r="R11" s="56"/>
    </row>
    <row r="12" spans="2:18" ht="30" customHeight="1" thickBot="1">
      <c r="B12" s="47" t="s">
        <v>26</v>
      </c>
      <c r="C12" s="46">
        <v>9</v>
      </c>
      <c r="D12" s="46">
        <v>13</v>
      </c>
      <c r="E12" s="46">
        <v>0</v>
      </c>
      <c r="F12" s="46">
        <v>0.42899999999999999</v>
      </c>
      <c r="G12" s="46">
        <v>7</v>
      </c>
      <c r="H12" s="46">
        <v>283</v>
      </c>
      <c r="I12" s="46">
        <v>304</v>
      </c>
      <c r="J12" s="46">
        <v>-21</v>
      </c>
      <c r="K12" s="41">
        <v>8</v>
      </c>
      <c r="L12" s="57"/>
      <c r="M12" s="58"/>
      <c r="N12" s="58"/>
      <c r="O12" s="58"/>
      <c r="P12" s="58"/>
      <c r="Q12" s="58"/>
      <c r="R12" s="59"/>
    </row>
    <row r="13" spans="2:18" ht="30" customHeight="1" thickBot="1">
      <c r="B13" s="45" t="s">
        <v>25</v>
      </c>
      <c r="C13" s="44">
        <v>9</v>
      </c>
      <c r="D13" s="44">
        <v>13</v>
      </c>
      <c r="E13" s="44">
        <v>0</v>
      </c>
      <c r="F13" s="44">
        <v>0.42899999999999999</v>
      </c>
      <c r="G13" s="44">
        <v>7</v>
      </c>
      <c r="H13" s="44">
        <v>322</v>
      </c>
      <c r="I13" s="44">
        <v>350</v>
      </c>
      <c r="J13" s="44">
        <v>-28</v>
      </c>
      <c r="K13" s="43">
        <v>7</v>
      </c>
      <c r="L13" s="57"/>
      <c r="M13" s="58"/>
      <c r="N13" s="58"/>
      <c r="O13" s="58"/>
      <c r="P13" s="58"/>
      <c r="Q13" s="58"/>
      <c r="R13" s="59"/>
    </row>
    <row r="14" spans="2:18" ht="30" customHeight="1" thickBot="1">
      <c r="B14" s="47" t="s">
        <v>24</v>
      </c>
      <c r="C14" s="46">
        <v>9</v>
      </c>
      <c r="D14" s="46">
        <v>13</v>
      </c>
      <c r="E14" s="46">
        <v>0</v>
      </c>
      <c r="F14" s="46">
        <v>0.38100000000000001</v>
      </c>
      <c r="G14" s="46">
        <v>8</v>
      </c>
      <c r="H14" s="46">
        <v>325</v>
      </c>
      <c r="I14" s="46">
        <v>340</v>
      </c>
      <c r="J14" s="46">
        <v>-15</v>
      </c>
      <c r="K14" s="41">
        <v>10</v>
      </c>
      <c r="L14" s="60"/>
      <c r="M14" s="61"/>
      <c r="N14" s="61"/>
      <c r="O14" s="61"/>
      <c r="P14" s="61"/>
      <c r="Q14" s="61"/>
      <c r="R14" s="62"/>
    </row>
    <row r="15" spans="2:18" ht="30" customHeight="1" thickBot="1">
      <c r="B15" s="45" t="s">
        <v>23</v>
      </c>
      <c r="C15" s="44">
        <v>8</v>
      </c>
      <c r="D15" s="44">
        <v>14</v>
      </c>
      <c r="E15" s="44">
        <v>0</v>
      </c>
      <c r="F15" s="44">
        <v>0.38100000000000001</v>
      </c>
      <c r="G15" s="44">
        <v>8</v>
      </c>
      <c r="H15" s="44">
        <v>343</v>
      </c>
      <c r="I15" s="44">
        <v>377</v>
      </c>
      <c r="J15" s="44">
        <v>-34</v>
      </c>
      <c r="K15" s="43">
        <v>11</v>
      </c>
      <c r="L15" s="54" t="s">
        <v>22</v>
      </c>
      <c r="M15" s="55"/>
      <c r="N15" s="55"/>
      <c r="O15" s="55"/>
      <c r="P15" s="55"/>
      <c r="Q15" s="55"/>
      <c r="R15" s="56"/>
    </row>
    <row r="16" spans="2:18" ht="30" customHeight="1">
      <c r="B16" s="42" t="s">
        <v>21</v>
      </c>
      <c r="C16" s="41">
        <v>8</v>
      </c>
      <c r="D16" s="41">
        <v>14</v>
      </c>
      <c r="E16" s="41">
        <v>0</v>
      </c>
      <c r="F16" s="41">
        <v>0.38100000000000001</v>
      </c>
      <c r="G16" s="41">
        <v>8</v>
      </c>
      <c r="H16" s="41">
        <v>359</v>
      </c>
      <c r="I16" s="41">
        <v>396</v>
      </c>
      <c r="J16" s="41">
        <v>-37</v>
      </c>
      <c r="K16" s="41">
        <v>12</v>
      </c>
      <c r="L16" s="60"/>
      <c r="M16" s="61"/>
      <c r="N16" s="61"/>
      <c r="O16" s="61"/>
      <c r="P16" s="61"/>
      <c r="Q16" s="61"/>
      <c r="R16" s="62"/>
    </row>
    <row r="17" spans="2:10" ht="30" customHeight="1">
      <c r="B17" s="40"/>
      <c r="C17" s="39"/>
      <c r="D17" s="39"/>
      <c r="E17" s="39"/>
      <c r="F17" s="39"/>
      <c r="G17" s="39"/>
      <c r="H17" s="39"/>
      <c r="I17" s="39"/>
      <c r="J17" s="39"/>
    </row>
    <row r="18" spans="2:10" ht="30" customHeight="1">
      <c r="B18" s="38"/>
      <c r="C18" s="38"/>
      <c r="D18" s="38"/>
      <c r="E18" s="38"/>
      <c r="F18" s="38"/>
      <c r="G18" s="38"/>
      <c r="H18" s="38"/>
      <c r="I18" s="38"/>
      <c r="J18" s="38"/>
    </row>
  </sheetData>
  <mergeCells count="3">
    <mergeCell ref="L11:R14"/>
    <mergeCell ref="L8:R9"/>
    <mergeCell ref="L15:R16"/>
  </mergeCells>
  <hyperlinks>
    <hyperlink ref="B5" r:id="rId1" display="https://villagesd1softball.onrender.com/team/531" xr:uid="{46F04311-8746-4511-B58B-82E58503C0EE}"/>
    <hyperlink ref="B6" r:id="rId2" display="https://villagesd1softball.onrender.com/team/534" xr:uid="{7C8EAD7E-8EAE-4745-B63B-07F683F26F3E}"/>
    <hyperlink ref="B7" r:id="rId3" display="https://villagesd1softball.onrender.com/team/530" xr:uid="{DBC75AB8-2C69-4658-BBFF-685B92DBF791}"/>
    <hyperlink ref="B8" r:id="rId4" display="https://villagesd1softball.onrender.com/team/533" xr:uid="{5B52F96B-EE1A-4066-980B-9EBEDD95636B}"/>
    <hyperlink ref="B9" r:id="rId5" display="https://villagesd1softball.onrender.com/team/528" xr:uid="{03BE2E7E-F7DF-4AC0-8CFA-6BE0D9C84F5B}"/>
    <hyperlink ref="B10" r:id="rId6" display="https://villagesd1softball.onrender.com/team/535" xr:uid="{1D525EAC-AA5E-4F9F-9F45-798C8B583FB6}"/>
    <hyperlink ref="B11" r:id="rId7" display="https://villagesd1softball.onrender.com/team/532" xr:uid="{38EE1F66-9701-455A-B7C8-D21012B0D345}"/>
    <hyperlink ref="B12" r:id="rId8" display="https://villagesd1softball.onrender.com/team/529" xr:uid="{B7C4E6F1-BCEB-4335-95B1-7B67E4E9DB0A}"/>
    <hyperlink ref="B13" r:id="rId9" display="https://villagesd1softball.onrender.com/team/537" xr:uid="{5F62E0F2-E42B-4667-8268-DDBFE03BB46B}"/>
    <hyperlink ref="B14" r:id="rId10" display="https://villagesd1softball.onrender.com/team/526" xr:uid="{E3E68AD6-59E2-45BC-8278-1FE297015517}"/>
    <hyperlink ref="B15" r:id="rId11" display="https://villagesd1softball.onrender.com/team/536" xr:uid="{758D09F2-E7FF-4F43-A294-77EBBC39509C}"/>
    <hyperlink ref="B16" r:id="rId12" display="https://villagesd1softball.onrender.com/team/527" xr:uid="{E57C1970-111B-47F2-AC24-936DDDD36319}"/>
  </hyperlinks>
  <pageMargins left="0.7" right="0.7" top="0.75" bottom="0.75" header="0.3" footer="0.3"/>
  <pageSetup scale="66" orientation="landscape" horizontalDpi="300" verticalDpi="30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FF86-5E3A-41C2-9836-0CA0C57512E0}">
  <sheetPr>
    <pageSetUpPr fitToPage="1"/>
  </sheetPr>
  <dimension ref="B5:S26"/>
  <sheetViews>
    <sheetView workbookViewId="0">
      <selection activeCell="B4" sqref="B4:J25"/>
    </sheetView>
  </sheetViews>
  <sheetFormatPr defaultRowHeight="15"/>
  <cols>
    <col min="2" max="6" width="20.7109375" customWidth="1"/>
  </cols>
  <sheetData>
    <row r="5" spans="2:19">
      <c r="C5" s="50" t="s">
        <v>27</v>
      </c>
      <c r="D5" s="50" t="s">
        <v>26</v>
      </c>
      <c r="E5" s="50" t="s">
        <v>25</v>
      </c>
      <c r="F5" s="50" t="s">
        <v>24</v>
      </c>
      <c r="G5" s="50" t="s">
        <v>43</v>
      </c>
      <c r="H5" s="50" t="s">
        <v>42</v>
      </c>
    </row>
    <row r="6" spans="2:19">
      <c r="B6" s="50" t="s">
        <v>27</v>
      </c>
      <c r="C6" s="50"/>
      <c r="D6" s="51" t="s">
        <v>45</v>
      </c>
      <c r="E6" s="52" t="s">
        <v>51</v>
      </c>
      <c r="F6" s="52" t="s">
        <v>53</v>
      </c>
      <c r="G6" s="50">
        <v>3</v>
      </c>
      <c r="H6" s="50">
        <v>3</v>
      </c>
      <c r="I6" s="50">
        <f>R8</f>
        <v>87</v>
      </c>
      <c r="J6" s="50">
        <f>S8</f>
        <v>92</v>
      </c>
      <c r="L6" s="53">
        <v>16</v>
      </c>
      <c r="M6" s="53">
        <v>9</v>
      </c>
      <c r="N6" s="53">
        <v>17</v>
      </c>
      <c r="O6" s="53">
        <v>24</v>
      </c>
      <c r="P6" s="53">
        <v>14</v>
      </c>
      <c r="Q6" s="53">
        <v>13</v>
      </c>
      <c r="R6">
        <f>L6+N6+P6</f>
        <v>47</v>
      </c>
      <c r="S6">
        <f>M6+O6+Q6</f>
        <v>46</v>
      </c>
    </row>
    <row r="7" spans="2:19">
      <c r="B7" s="50"/>
      <c r="C7" s="50"/>
      <c r="D7" s="51" t="s">
        <v>46</v>
      </c>
      <c r="E7" s="52" t="s">
        <v>52</v>
      </c>
      <c r="F7" s="52" t="s">
        <v>54</v>
      </c>
      <c r="G7" s="50"/>
      <c r="H7" s="50"/>
      <c r="I7" s="50"/>
      <c r="J7" s="50"/>
      <c r="L7" s="53">
        <v>5</v>
      </c>
      <c r="M7" s="53">
        <v>14</v>
      </c>
      <c r="N7" s="53">
        <v>17</v>
      </c>
      <c r="O7" s="53">
        <v>13</v>
      </c>
      <c r="P7" s="53">
        <v>18</v>
      </c>
      <c r="Q7" s="53">
        <v>19</v>
      </c>
      <c r="R7">
        <f>L7+N7+P7</f>
        <v>40</v>
      </c>
      <c r="S7">
        <f>M7+O7+Q7</f>
        <v>46</v>
      </c>
    </row>
    <row r="8" spans="2:19">
      <c r="B8" s="50"/>
      <c r="C8" s="50"/>
      <c r="D8" s="51"/>
      <c r="E8" s="50"/>
      <c r="F8" s="50"/>
      <c r="G8" s="50"/>
      <c r="H8" s="50"/>
      <c r="I8" s="50"/>
      <c r="J8" s="50"/>
      <c r="L8" s="53"/>
      <c r="M8" s="53"/>
      <c r="N8" s="53"/>
      <c r="O8" s="53"/>
      <c r="P8" s="53"/>
      <c r="Q8" s="53"/>
      <c r="R8">
        <f>R6+R7</f>
        <v>87</v>
      </c>
      <c r="S8">
        <f>S6+S7</f>
        <v>92</v>
      </c>
    </row>
    <row r="9" spans="2:19">
      <c r="B9" s="50"/>
      <c r="C9" s="50"/>
      <c r="D9" s="51"/>
      <c r="E9" s="50"/>
      <c r="F9" s="50"/>
      <c r="G9" s="50"/>
      <c r="H9" s="50"/>
      <c r="I9" s="50"/>
      <c r="J9" s="50"/>
      <c r="L9" s="53"/>
      <c r="M9" s="53"/>
      <c r="N9" s="53"/>
      <c r="O9" s="53"/>
      <c r="P9" s="53"/>
      <c r="Q9" s="53"/>
    </row>
    <row r="10" spans="2:19">
      <c r="B10" s="50"/>
      <c r="C10" s="50"/>
      <c r="D10" s="50"/>
      <c r="E10" s="50"/>
      <c r="F10" s="50"/>
      <c r="G10" s="50"/>
      <c r="H10" s="50"/>
      <c r="I10" s="50"/>
      <c r="J10" s="50"/>
      <c r="L10" s="53"/>
      <c r="M10" s="53"/>
      <c r="N10" s="53"/>
      <c r="O10" s="53"/>
      <c r="P10" s="53"/>
      <c r="Q10" s="53"/>
    </row>
    <row r="11" spans="2:19">
      <c r="B11" s="50" t="s">
        <v>26</v>
      </c>
      <c r="C11" s="52" t="s">
        <v>62</v>
      </c>
      <c r="D11" s="50"/>
      <c r="E11" s="52" t="s">
        <v>64</v>
      </c>
      <c r="F11" s="52" t="s">
        <v>65</v>
      </c>
      <c r="G11" s="50">
        <v>3</v>
      </c>
      <c r="H11" s="50">
        <v>3</v>
      </c>
      <c r="I11" s="50">
        <v>82</v>
      </c>
      <c r="J11" s="50">
        <v>83</v>
      </c>
      <c r="L11" s="53">
        <v>9</v>
      </c>
      <c r="M11" s="53">
        <v>16</v>
      </c>
      <c r="N11" s="53">
        <v>17</v>
      </c>
      <c r="O11" s="53">
        <v>21</v>
      </c>
      <c r="P11" s="53">
        <v>16</v>
      </c>
      <c r="Q11" s="53">
        <v>15</v>
      </c>
      <c r="R11">
        <f>L11+N11+P11</f>
        <v>42</v>
      </c>
      <c r="S11">
        <f>M11+O11+Q11</f>
        <v>52</v>
      </c>
    </row>
    <row r="12" spans="2:19">
      <c r="B12" s="50"/>
      <c r="C12" s="52" t="s">
        <v>63</v>
      </c>
      <c r="D12" s="50"/>
      <c r="E12" s="52" t="s">
        <v>66</v>
      </c>
      <c r="F12" s="52" t="s">
        <v>52</v>
      </c>
      <c r="G12" s="50"/>
      <c r="H12" s="50"/>
      <c r="I12" s="50"/>
      <c r="J12" s="50"/>
      <c r="L12" s="53">
        <v>14</v>
      </c>
      <c r="M12" s="53">
        <v>5</v>
      </c>
      <c r="N12" s="53">
        <v>9</v>
      </c>
      <c r="O12" s="53">
        <v>13</v>
      </c>
      <c r="P12" s="53">
        <v>17</v>
      </c>
      <c r="Q12" s="53">
        <v>13</v>
      </c>
      <c r="R12">
        <f>L12+N12+P12</f>
        <v>40</v>
      </c>
      <c r="S12">
        <f>M12+O12+Q12</f>
        <v>31</v>
      </c>
    </row>
    <row r="13" spans="2:19">
      <c r="B13" s="50"/>
      <c r="C13" s="50"/>
      <c r="D13" s="50"/>
      <c r="E13" s="50"/>
      <c r="F13" s="50"/>
      <c r="G13" s="50"/>
      <c r="H13" s="50"/>
      <c r="I13" s="50"/>
      <c r="J13" s="50"/>
      <c r="L13" s="53"/>
      <c r="M13" s="53"/>
      <c r="N13" s="53"/>
      <c r="O13" s="53"/>
      <c r="P13" s="53"/>
      <c r="Q13" s="53"/>
      <c r="R13">
        <f>R11+R12</f>
        <v>82</v>
      </c>
      <c r="S13">
        <f>S11+S12</f>
        <v>83</v>
      </c>
    </row>
    <row r="14" spans="2:19">
      <c r="B14" s="50"/>
      <c r="C14" s="50"/>
      <c r="D14" s="50"/>
      <c r="E14" s="50"/>
      <c r="F14" s="50"/>
      <c r="G14" s="50"/>
      <c r="H14" s="50"/>
      <c r="I14" s="50"/>
      <c r="J14" s="50"/>
      <c r="L14" s="53"/>
      <c r="M14" s="53"/>
      <c r="N14" s="53"/>
      <c r="O14" s="53"/>
      <c r="P14" s="53"/>
      <c r="Q14" s="53"/>
    </row>
    <row r="15" spans="2:19">
      <c r="B15" s="50"/>
      <c r="C15" s="50"/>
      <c r="D15" s="50"/>
      <c r="E15" s="50"/>
      <c r="F15" s="50"/>
      <c r="G15" s="50"/>
      <c r="H15" s="50"/>
      <c r="I15" s="50"/>
      <c r="J15" s="50"/>
      <c r="L15" s="53"/>
      <c r="M15" s="53"/>
      <c r="N15" s="53"/>
      <c r="O15" s="53"/>
      <c r="P15" s="53"/>
      <c r="Q15" s="53"/>
    </row>
    <row r="16" spans="2:19">
      <c r="B16" s="50"/>
      <c r="C16" s="50"/>
      <c r="D16" s="50"/>
      <c r="E16" s="50"/>
      <c r="F16" s="50"/>
      <c r="G16" s="50"/>
      <c r="H16" s="50"/>
      <c r="I16" s="50"/>
      <c r="J16" s="50"/>
      <c r="L16" s="53"/>
      <c r="M16" s="53"/>
      <c r="N16" s="53"/>
      <c r="O16" s="53"/>
      <c r="P16" s="53"/>
      <c r="Q16" s="53"/>
    </row>
    <row r="17" spans="2:19">
      <c r="B17" s="50" t="s">
        <v>25</v>
      </c>
      <c r="C17" s="52" t="s">
        <v>59</v>
      </c>
      <c r="D17" s="52" t="s">
        <v>47</v>
      </c>
      <c r="E17" s="50"/>
      <c r="F17" s="52" t="s">
        <v>60</v>
      </c>
      <c r="G17" s="50">
        <v>4</v>
      </c>
      <c r="H17" s="50">
        <v>2</v>
      </c>
      <c r="I17" s="50">
        <v>101</v>
      </c>
      <c r="J17" s="50">
        <v>96</v>
      </c>
      <c r="L17" s="53">
        <v>24</v>
      </c>
      <c r="M17" s="53">
        <v>17</v>
      </c>
      <c r="N17" s="53">
        <v>21</v>
      </c>
      <c r="O17" s="53">
        <v>17</v>
      </c>
      <c r="P17" s="53">
        <v>11</v>
      </c>
      <c r="Q17" s="53">
        <v>21</v>
      </c>
      <c r="R17">
        <f>L17+N17+P17</f>
        <v>56</v>
      </c>
      <c r="S17">
        <f>M17+O17+Q17</f>
        <v>55</v>
      </c>
    </row>
    <row r="18" spans="2:19">
      <c r="B18" s="50"/>
      <c r="C18" s="52" t="s">
        <v>50</v>
      </c>
      <c r="D18" s="52" t="s">
        <v>48</v>
      </c>
      <c r="E18" s="50"/>
      <c r="F18" s="52" t="s">
        <v>61</v>
      </c>
      <c r="G18" s="50"/>
      <c r="H18" s="50"/>
      <c r="I18" s="50"/>
      <c r="J18" s="50"/>
      <c r="L18" s="53">
        <v>13</v>
      </c>
      <c r="M18" s="53">
        <v>17</v>
      </c>
      <c r="N18" s="53">
        <v>13</v>
      </c>
      <c r="O18" s="53">
        <v>9</v>
      </c>
      <c r="P18" s="53">
        <v>19</v>
      </c>
      <c r="Q18" s="53">
        <v>15</v>
      </c>
      <c r="R18">
        <f>L18+N18+P18</f>
        <v>45</v>
      </c>
      <c r="S18">
        <f>M18+O18+Q18</f>
        <v>41</v>
      </c>
    </row>
    <row r="19" spans="2:19">
      <c r="B19" s="50"/>
      <c r="C19" s="50"/>
      <c r="D19" s="52"/>
      <c r="E19" s="50"/>
      <c r="F19" s="50"/>
      <c r="G19" s="50"/>
      <c r="H19" s="50"/>
      <c r="I19" s="50"/>
      <c r="J19" s="50"/>
      <c r="L19" s="53"/>
      <c r="M19" s="53"/>
      <c r="N19" s="53"/>
      <c r="O19" s="53"/>
      <c r="P19" s="53"/>
      <c r="Q19" s="53"/>
      <c r="R19">
        <f>R17+R18</f>
        <v>101</v>
      </c>
      <c r="S19">
        <f>S17+S18</f>
        <v>96</v>
      </c>
    </row>
    <row r="20" spans="2:19">
      <c r="B20" s="50"/>
      <c r="C20" s="50"/>
      <c r="D20" s="50"/>
      <c r="E20" s="50"/>
      <c r="F20" s="50"/>
      <c r="G20" s="50"/>
      <c r="H20" s="50"/>
      <c r="I20" s="50"/>
      <c r="J20" s="50"/>
      <c r="L20" s="53"/>
      <c r="M20" s="53"/>
      <c r="N20" s="53"/>
      <c r="O20" s="53"/>
      <c r="P20" s="53"/>
      <c r="Q20" s="53"/>
    </row>
    <row r="21" spans="2:19">
      <c r="B21" s="50" t="s">
        <v>24</v>
      </c>
      <c r="C21" s="52" t="s">
        <v>55</v>
      </c>
      <c r="D21" s="52" t="s">
        <v>49</v>
      </c>
      <c r="E21" s="52" t="s">
        <v>58</v>
      </c>
      <c r="F21" s="50"/>
      <c r="G21" s="50">
        <v>2</v>
      </c>
      <c r="H21" s="50">
        <v>4</v>
      </c>
      <c r="I21" s="50">
        <v>96</v>
      </c>
      <c r="J21" s="50">
        <v>95</v>
      </c>
      <c r="L21" s="53">
        <v>13</v>
      </c>
      <c r="M21" s="53">
        <v>14</v>
      </c>
      <c r="N21" s="53">
        <v>15</v>
      </c>
      <c r="O21" s="53">
        <v>16</v>
      </c>
      <c r="P21" s="53">
        <v>21</v>
      </c>
      <c r="Q21" s="53">
        <v>11</v>
      </c>
      <c r="R21">
        <f>L21+N21+P21</f>
        <v>49</v>
      </c>
      <c r="S21">
        <f>M21+O21+Q21</f>
        <v>41</v>
      </c>
    </row>
    <row r="22" spans="2:19">
      <c r="C22" s="52" t="s">
        <v>56</v>
      </c>
      <c r="D22" s="52" t="s">
        <v>50</v>
      </c>
      <c r="E22" s="52" t="s">
        <v>57</v>
      </c>
      <c r="G22" s="50"/>
      <c r="H22" s="50"/>
      <c r="I22" s="50"/>
      <c r="J22" s="50"/>
      <c r="L22" s="53">
        <v>19</v>
      </c>
      <c r="M22" s="53">
        <v>18</v>
      </c>
      <c r="N22" s="53">
        <v>13</v>
      </c>
      <c r="O22" s="53">
        <v>17</v>
      </c>
      <c r="P22" s="53">
        <v>15</v>
      </c>
      <c r="Q22" s="53">
        <v>19</v>
      </c>
      <c r="R22">
        <f>L22+N22+P22</f>
        <v>47</v>
      </c>
      <c r="S22">
        <f>M22+O22+Q22</f>
        <v>54</v>
      </c>
    </row>
    <row r="23" spans="2:19">
      <c r="C23" s="50"/>
      <c r="G23" s="50"/>
      <c r="H23" s="50"/>
      <c r="I23" s="50"/>
      <c r="J23" s="50"/>
      <c r="L23" s="53"/>
      <c r="M23" s="53"/>
      <c r="N23" s="53"/>
      <c r="O23" s="53"/>
      <c r="P23" s="53"/>
      <c r="Q23" s="53"/>
      <c r="R23">
        <f>R21+R22</f>
        <v>96</v>
      </c>
      <c r="S23">
        <f>S21+S22</f>
        <v>95</v>
      </c>
    </row>
    <row r="24" spans="2:19">
      <c r="G24" s="50">
        <f>SUM(G6:G21)</f>
        <v>12</v>
      </c>
      <c r="H24" s="50">
        <f>SUM(H6:H21)</f>
        <v>12</v>
      </c>
      <c r="I24" s="50">
        <f>SUM(I6:I21)</f>
        <v>366</v>
      </c>
      <c r="J24" s="50">
        <f>SUM(J6:J21)</f>
        <v>366</v>
      </c>
      <c r="L24" s="53"/>
      <c r="M24" s="53"/>
      <c r="N24" s="53"/>
      <c r="O24" s="53"/>
      <c r="P24" s="53"/>
      <c r="Q24" s="53"/>
    </row>
    <row r="25" spans="2:19">
      <c r="L25" s="53"/>
      <c r="M25" s="53"/>
      <c r="N25" s="53"/>
      <c r="O25" s="53"/>
      <c r="P25" s="53"/>
      <c r="Q25" s="53"/>
    </row>
    <row r="26" spans="2:19">
      <c r="L26" s="53"/>
      <c r="M26" s="53"/>
      <c r="N26" s="53"/>
      <c r="O26" s="53"/>
      <c r="P26" s="53"/>
      <c r="Q26" s="53"/>
    </row>
  </sheetData>
  <pageMargins left="0.7" right="0.7" top="0.75" bottom="0.75" header="0.3" footer="0.3"/>
  <pageSetup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47"/>
  <sheetViews>
    <sheetView tabSelected="1" topLeftCell="A9" zoomScale="70" zoomScaleNormal="70" workbookViewId="0">
      <selection activeCell="K30" sqref="K30"/>
    </sheetView>
  </sheetViews>
  <sheetFormatPr defaultColWidth="9.140625" defaultRowHeight="18.75"/>
  <cols>
    <col min="1" max="2" width="3.7109375" style="2" customWidth="1"/>
    <col min="3" max="3" width="7.7109375" style="2" customWidth="1"/>
    <col min="4" max="4" width="25.7109375" style="2" customWidth="1"/>
    <col min="5" max="5" width="5.7109375" style="2" customWidth="1"/>
    <col min="6" max="6" width="25.7109375" style="2" customWidth="1"/>
    <col min="7" max="7" width="5.7109375" style="2" customWidth="1"/>
    <col min="8" max="8" width="25.7109375" style="2" customWidth="1"/>
    <col min="9" max="9" width="5.7109375" style="2" customWidth="1"/>
    <col min="10" max="10" width="25.7109375" style="2" customWidth="1"/>
    <col min="11" max="11" width="23.7109375" style="2" customWidth="1"/>
    <col min="12" max="12" width="7.7109375" style="2" customWidth="1"/>
    <col min="13" max="13" width="3.7109375" style="2" customWidth="1"/>
    <col min="14" max="16384" width="9.140625" style="2"/>
  </cols>
  <sheetData>
    <row r="1" spans="2:13">
      <c r="B1" s="21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2:13" ht="33.75">
      <c r="B2" s="24"/>
      <c r="C2" s="63" t="s">
        <v>20</v>
      </c>
      <c r="D2" s="64"/>
      <c r="E2" s="64"/>
      <c r="F2" s="64"/>
      <c r="G2" s="64"/>
      <c r="H2" s="64"/>
      <c r="I2" s="64"/>
      <c r="J2" s="64"/>
      <c r="K2" s="64"/>
      <c r="L2" s="65"/>
      <c r="M2" s="25"/>
    </row>
    <row r="3" spans="2:13">
      <c r="B3" s="24"/>
      <c r="M3" s="25"/>
    </row>
    <row r="4" spans="2:13" ht="18" customHeight="1">
      <c r="B4" s="24"/>
      <c r="D4" s="66" t="s">
        <v>2</v>
      </c>
      <c r="E4" s="67"/>
      <c r="F4" s="67"/>
      <c r="G4" s="67"/>
      <c r="H4" s="67"/>
      <c r="I4" s="67"/>
      <c r="J4" s="67"/>
      <c r="K4" s="68"/>
      <c r="M4" s="25"/>
    </row>
    <row r="5" spans="2:13" ht="26.1" customHeight="1">
      <c r="B5" s="24"/>
      <c r="C5" s="11"/>
      <c r="D5" s="11"/>
      <c r="E5" s="11"/>
      <c r="F5" s="11"/>
      <c r="G5" s="11"/>
      <c r="H5" s="11"/>
      <c r="I5" s="11"/>
      <c r="J5" s="11"/>
      <c r="K5" s="11"/>
      <c r="M5" s="25"/>
    </row>
    <row r="6" spans="2:13" ht="37.5">
      <c r="B6" s="24"/>
      <c r="C6" s="11"/>
      <c r="D6" s="15" t="s">
        <v>72</v>
      </c>
      <c r="E6" s="11"/>
      <c r="F6" s="15" t="s">
        <v>15</v>
      </c>
      <c r="G6" s="11"/>
      <c r="H6" s="15" t="s">
        <v>17</v>
      </c>
      <c r="I6" s="11"/>
      <c r="J6" s="15" t="s">
        <v>18</v>
      </c>
      <c r="K6" s="11"/>
      <c r="M6" s="25"/>
    </row>
    <row r="7" spans="2:13" ht="26.1" customHeight="1">
      <c r="B7" s="24"/>
      <c r="C7" s="11"/>
      <c r="D7" s="31"/>
      <c r="E7" s="11"/>
      <c r="F7" s="31"/>
      <c r="G7" s="11"/>
      <c r="H7" s="31"/>
      <c r="I7" s="11"/>
      <c r="J7" s="31"/>
      <c r="K7" s="11"/>
      <c r="M7" s="25"/>
    </row>
    <row r="8" spans="2:13" ht="26.1" customHeight="1">
      <c r="B8" s="24"/>
      <c r="C8" s="13"/>
      <c r="D8" s="32" t="s">
        <v>68</v>
      </c>
      <c r="F8" s="12"/>
      <c r="M8" s="25"/>
    </row>
    <row r="9" spans="2:13" ht="26.1" customHeight="1">
      <c r="B9" s="24"/>
      <c r="D9" s="29"/>
      <c r="F9" s="20" t="s">
        <v>81</v>
      </c>
      <c r="M9" s="25"/>
    </row>
    <row r="10" spans="2:13" ht="26.1" customHeight="1">
      <c r="B10" s="24"/>
      <c r="D10" s="14" t="s">
        <v>1</v>
      </c>
      <c r="E10" s="5"/>
      <c r="F10" s="3"/>
      <c r="H10" s="20"/>
      <c r="M10" s="25"/>
    </row>
    <row r="11" spans="2:13" ht="26.1" customHeight="1">
      <c r="B11" s="24"/>
      <c r="F11" s="72" t="s">
        <v>11</v>
      </c>
      <c r="H11" s="20" t="s">
        <v>88</v>
      </c>
      <c r="M11" s="25"/>
    </row>
    <row r="12" spans="2:13" ht="26.1" customHeight="1">
      <c r="B12" s="24"/>
      <c r="C12" s="10"/>
      <c r="D12" s="32" t="s">
        <v>73</v>
      </c>
      <c r="F12" s="72"/>
      <c r="G12" s="5"/>
      <c r="H12" s="3"/>
      <c r="M12" s="25"/>
    </row>
    <row r="13" spans="2:13" ht="26.1" customHeight="1">
      <c r="B13" s="24"/>
      <c r="C13" s="13"/>
      <c r="D13" s="37" t="s">
        <v>10</v>
      </c>
      <c r="F13" s="14" t="s">
        <v>82</v>
      </c>
      <c r="H13" s="4"/>
      <c r="M13" s="25"/>
    </row>
    <row r="14" spans="2:13" ht="26.1" customHeight="1">
      <c r="B14" s="24"/>
      <c r="C14" s="13"/>
      <c r="D14" s="14" t="s">
        <v>74</v>
      </c>
      <c r="E14" s="5"/>
      <c r="F14" s="20"/>
      <c r="H14" s="4"/>
      <c r="M14" s="25"/>
    </row>
    <row r="15" spans="2:13" ht="26.1" customHeight="1">
      <c r="B15" s="24"/>
      <c r="H15" s="72" t="s">
        <v>11</v>
      </c>
      <c r="J15" s="20" t="s">
        <v>68</v>
      </c>
      <c r="M15" s="25"/>
    </row>
    <row r="16" spans="2:13" ht="26.1" customHeight="1">
      <c r="B16" s="24"/>
      <c r="C16" s="13"/>
      <c r="D16" s="32" t="s">
        <v>71</v>
      </c>
      <c r="F16" s="20"/>
      <c r="G16" s="6"/>
      <c r="H16" s="72"/>
      <c r="I16" s="7"/>
      <c r="J16" s="3"/>
      <c r="M16" s="25"/>
    </row>
    <row r="17" spans="2:13" ht="26.1" customHeight="1">
      <c r="B17" s="24"/>
      <c r="C17" s="13"/>
      <c r="D17" s="37"/>
      <c r="F17" s="20" t="s">
        <v>83</v>
      </c>
      <c r="G17" s="6"/>
      <c r="H17" s="30"/>
      <c r="I17" s="34"/>
      <c r="J17" s="4"/>
      <c r="M17" s="25"/>
    </row>
    <row r="18" spans="2:13" ht="26.1" customHeight="1">
      <c r="B18" s="24"/>
      <c r="D18" s="14" t="s">
        <v>1</v>
      </c>
      <c r="E18" s="5"/>
      <c r="F18" s="3"/>
      <c r="H18" s="4"/>
      <c r="I18" s="8"/>
      <c r="J18" s="4"/>
      <c r="M18" s="25"/>
    </row>
    <row r="19" spans="2:13" ht="26.1" customHeight="1">
      <c r="B19" s="24"/>
      <c r="D19" s="35"/>
      <c r="F19" s="72" t="s">
        <v>14</v>
      </c>
      <c r="G19" s="9"/>
      <c r="H19" s="14" t="s">
        <v>89</v>
      </c>
      <c r="I19" s="8"/>
      <c r="J19" s="4"/>
      <c r="M19" s="25"/>
    </row>
    <row r="20" spans="2:13" ht="26.1" customHeight="1">
      <c r="B20" s="24"/>
      <c r="C20" s="6"/>
      <c r="D20" s="32" t="s">
        <v>75</v>
      </c>
      <c r="F20" s="72"/>
      <c r="J20" s="4"/>
      <c r="M20" s="25"/>
    </row>
    <row r="21" spans="2:13" ht="26.1" customHeight="1">
      <c r="B21" s="24"/>
      <c r="C21" s="13"/>
      <c r="D21" s="37" t="s">
        <v>11</v>
      </c>
      <c r="F21" s="14" t="s">
        <v>76</v>
      </c>
      <c r="J21" s="4"/>
      <c r="M21" s="25"/>
    </row>
    <row r="22" spans="2:13" ht="26.1" customHeight="1">
      <c r="B22" s="24"/>
      <c r="C22" s="13"/>
      <c r="D22" s="14" t="s">
        <v>76</v>
      </c>
      <c r="E22" s="5"/>
      <c r="F22" s="20"/>
      <c r="J22" s="4"/>
      <c r="M22" s="25"/>
    </row>
    <row r="23" spans="2:13" ht="26.1" customHeight="1">
      <c r="B23" s="24"/>
      <c r="J23" s="72" t="s">
        <v>19</v>
      </c>
      <c r="K23" s="20" t="s">
        <v>0</v>
      </c>
      <c r="M23" s="25"/>
    </row>
    <row r="24" spans="2:13" ht="26.1" customHeight="1">
      <c r="B24" s="24"/>
      <c r="C24" s="13"/>
      <c r="D24" s="32" t="s">
        <v>69</v>
      </c>
      <c r="F24" s="20"/>
      <c r="J24" s="72"/>
      <c r="K24" s="1"/>
      <c r="M24" s="25"/>
    </row>
    <row r="25" spans="2:13" ht="26.1" customHeight="1">
      <c r="B25" s="24"/>
      <c r="D25" s="29"/>
      <c r="F25" s="20" t="s">
        <v>84</v>
      </c>
      <c r="J25" s="4"/>
      <c r="M25" s="25"/>
    </row>
    <row r="26" spans="2:13" ht="26.1" customHeight="1">
      <c r="B26" s="24"/>
      <c r="D26" s="14" t="s">
        <v>1</v>
      </c>
      <c r="E26" s="5"/>
      <c r="F26" s="3"/>
      <c r="J26" s="4"/>
      <c r="M26" s="25"/>
    </row>
    <row r="27" spans="2:13" ht="26.1" customHeight="1">
      <c r="B27" s="24"/>
      <c r="D27" s="36"/>
      <c r="F27" s="72" t="s">
        <v>13</v>
      </c>
      <c r="H27" s="20" t="s">
        <v>90</v>
      </c>
      <c r="J27" s="4"/>
      <c r="M27" s="25"/>
    </row>
    <row r="28" spans="2:13" ht="26.1" customHeight="1">
      <c r="B28" s="24"/>
      <c r="C28" s="6"/>
      <c r="D28" s="32" t="s">
        <v>77</v>
      </c>
      <c r="F28" s="72"/>
      <c r="G28" s="5"/>
      <c r="H28" s="3"/>
      <c r="I28" s="8"/>
      <c r="J28" s="4"/>
      <c r="M28" s="25"/>
    </row>
    <row r="29" spans="2:13" ht="26.1" customHeight="1">
      <c r="B29" s="24"/>
      <c r="C29" s="6"/>
      <c r="D29" s="37" t="s">
        <v>12</v>
      </c>
      <c r="F29" s="14" t="s">
        <v>85</v>
      </c>
      <c r="H29" s="4"/>
      <c r="I29" s="8"/>
      <c r="J29" s="4"/>
      <c r="M29" s="25"/>
    </row>
    <row r="30" spans="2:13" ht="26.1" customHeight="1">
      <c r="B30" s="24"/>
      <c r="C30" s="13"/>
      <c r="D30" s="14" t="s">
        <v>78</v>
      </c>
      <c r="E30" s="5"/>
      <c r="H30" s="4"/>
      <c r="I30" s="8"/>
      <c r="J30" s="4"/>
      <c r="M30" s="25"/>
    </row>
    <row r="31" spans="2:13" ht="26.1" customHeight="1">
      <c r="B31" s="24"/>
      <c r="H31" s="72" t="s">
        <v>14</v>
      </c>
      <c r="I31" s="9"/>
      <c r="J31" s="14" t="s">
        <v>16</v>
      </c>
      <c r="M31" s="25"/>
    </row>
    <row r="32" spans="2:13" ht="26.1" customHeight="1">
      <c r="B32" s="24"/>
      <c r="C32" s="13"/>
      <c r="D32" s="32" t="s">
        <v>70</v>
      </c>
      <c r="F32" s="20"/>
      <c r="G32" s="10"/>
      <c r="H32" s="72"/>
      <c r="I32" s="10"/>
      <c r="M32" s="25"/>
    </row>
    <row r="33" spans="2:13" ht="26.1" customHeight="1">
      <c r="B33" s="24"/>
      <c r="C33" s="13"/>
      <c r="D33" s="29"/>
      <c r="F33" s="20" t="s">
        <v>86</v>
      </c>
      <c r="G33" s="10"/>
      <c r="H33" s="33"/>
      <c r="I33" s="10"/>
      <c r="M33" s="25"/>
    </row>
    <row r="34" spans="2:13" ht="26.1" customHeight="1">
      <c r="B34" s="24"/>
      <c r="D34" s="14" t="s">
        <v>1</v>
      </c>
      <c r="E34" s="5"/>
      <c r="F34" s="3"/>
      <c r="H34" s="4"/>
      <c r="M34" s="25"/>
    </row>
    <row r="35" spans="2:13" ht="26.1" customHeight="1">
      <c r="B35" s="24"/>
      <c r="D35" s="36"/>
      <c r="F35" s="72" t="s">
        <v>12</v>
      </c>
      <c r="G35" s="9"/>
      <c r="H35" s="14" t="s">
        <v>91</v>
      </c>
      <c r="M35" s="25"/>
    </row>
    <row r="36" spans="2:13" ht="26.1" customHeight="1">
      <c r="B36" s="24"/>
      <c r="C36" s="10"/>
      <c r="D36" s="32" t="s">
        <v>79</v>
      </c>
      <c r="F36" s="72"/>
      <c r="M36" s="25"/>
    </row>
    <row r="37" spans="2:13" ht="26.1" customHeight="1">
      <c r="B37" s="24"/>
      <c r="C37" s="13"/>
      <c r="D37" s="37" t="s">
        <v>13</v>
      </c>
      <c r="F37" s="14" t="s">
        <v>87</v>
      </c>
      <c r="M37" s="25"/>
    </row>
    <row r="38" spans="2:13" ht="26.1" customHeight="1">
      <c r="B38" s="24"/>
      <c r="C38" s="13"/>
      <c r="D38" s="14" t="s">
        <v>80</v>
      </c>
      <c r="E38" s="5"/>
      <c r="F38" s="20"/>
      <c r="M38" s="25"/>
    </row>
    <row r="39" spans="2:13" ht="26.1" customHeight="1">
      <c r="B39" s="24"/>
      <c r="M39" s="25"/>
    </row>
    <row r="40" spans="2:13" ht="18.75" customHeight="1">
      <c r="B40" s="24"/>
      <c r="C40" s="69" t="s">
        <v>3</v>
      </c>
      <c r="D40" s="70"/>
      <c r="E40" s="70"/>
      <c r="F40" s="70"/>
      <c r="G40" s="70"/>
      <c r="H40" s="70"/>
      <c r="I40" s="70"/>
      <c r="J40" s="70"/>
      <c r="K40" s="70"/>
      <c r="L40" s="71"/>
      <c r="M40" s="25"/>
    </row>
    <row r="41" spans="2:13" ht="18.75" customHeight="1">
      <c r="B41" s="24"/>
      <c r="C41" s="16" t="s">
        <v>9</v>
      </c>
      <c r="D41" s="17"/>
      <c r="E41" s="18"/>
      <c r="F41" s="17"/>
      <c r="G41" s="18"/>
      <c r="H41" s="18"/>
      <c r="I41" s="18"/>
      <c r="J41" s="18"/>
      <c r="K41" s="18"/>
      <c r="L41" s="19"/>
      <c r="M41" s="25"/>
    </row>
    <row r="42" spans="2:13" ht="18.75" customHeight="1">
      <c r="B42" s="24"/>
      <c r="C42" s="16" t="s">
        <v>7</v>
      </c>
      <c r="D42" s="17"/>
      <c r="E42" s="18"/>
      <c r="F42" s="17"/>
      <c r="G42" s="18"/>
      <c r="H42" s="18"/>
      <c r="I42" s="18"/>
      <c r="J42" s="18"/>
      <c r="K42" s="18"/>
      <c r="L42" s="19"/>
      <c r="M42" s="25"/>
    </row>
    <row r="43" spans="2:13" ht="18.75" customHeight="1">
      <c r="B43" s="24"/>
      <c r="C43" s="16" t="s">
        <v>8</v>
      </c>
      <c r="D43" s="17"/>
      <c r="E43" s="18"/>
      <c r="F43" s="17"/>
      <c r="G43" s="18"/>
      <c r="H43" s="18"/>
      <c r="I43" s="18"/>
      <c r="J43" s="18"/>
      <c r="K43" s="18"/>
      <c r="L43" s="19"/>
      <c r="M43" s="25"/>
    </row>
    <row r="44" spans="2:13" ht="18.75" customHeight="1">
      <c r="B44" s="24"/>
      <c r="C44" s="16" t="s">
        <v>4</v>
      </c>
      <c r="D44" s="17"/>
      <c r="E44" s="18"/>
      <c r="F44" s="17"/>
      <c r="G44" s="18"/>
      <c r="H44" s="18"/>
      <c r="I44" s="18"/>
      <c r="J44" s="18"/>
      <c r="K44" s="18"/>
      <c r="L44" s="19"/>
      <c r="M44" s="25"/>
    </row>
    <row r="45" spans="2:13" ht="18.75" customHeight="1">
      <c r="B45" s="24"/>
      <c r="C45" s="16" t="s">
        <v>5</v>
      </c>
      <c r="D45" s="17"/>
      <c r="E45" s="18"/>
      <c r="F45" s="17"/>
      <c r="G45" s="18"/>
      <c r="H45" s="18"/>
      <c r="I45" s="18"/>
      <c r="J45" s="18"/>
      <c r="K45" s="18"/>
      <c r="L45" s="19"/>
      <c r="M45" s="25"/>
    </row>
    <row r="46" spans="2:13" ht="18.75" customHeight="1">
      <c r="B46" s="24"/>
      <c r="C46" s="16" t="s">
        <v>6</v>
      </c>
      <c r="D46" s="17"/>
      <c r="E46" s="18"/>
      <c r="F46" s="17"/>
      <c r="G46" s="18"/>
      <c r="H46" s="18"/>
      <c r="I46" s="18"/>
      <c r="J46" s="18"/>
      <c r="K46" s="18"/>
      <c r="L46" s="19"/>
      <c r="M46" s="25"/>
    </row>
    <row r="47" spans="2:13" ht="19.5" thickBot="1"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8"/>
    </row>
  </sheetData>
  <mergeCells count="10">
    <mergeCell ref="C2:L2"/>
    <mergeCell ref="D4:K4"/>
    <mergeCell ref="C40:L40"/>
    <mergeCell ref="F11:F12"/>
    <mergeCell ref="F19:F20"/>
    <mergeCell ref="F27:F28"/>
    <mergeCell ref="F35:F36"/>
    <mergeCell ref="H15:H16"/>
    <mergeCell ref="H31:H32"/>
    <mergeCell ref="J23:J24"/>
  </mergeCells>
  <printOptions horizontalCentered="1" verticalCentered="1"/>
  <pageMargins left="0.25" right="0" top="0" bottom="0" header="0" footer="0"/>
  <pageSetup scale="6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Seedings </vt:lpstr>
      <vt:lpstr>Documentation</vt:lpstr>
      <vt:lpstr>PostSeason Tmt</vt:lpstr>
      <vt:lpstr>Documentation!Print_Area</vt:lpstr>
      <vt:lpstr>'PostSeason Tmt'!Print_Area</vt:lpstr>
      <vt:lpstr>'Seedings 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PrintYourBrackets.com</dc:creator>
  <cp:lastModifiedBy>Jamie Hall</cp:lastModifiedBy>
  <cp:lastPrinted>2025-12-05T18:40:47Z</cp:lastPrinted>
  <dcterms:created xsi:type="dcterms:W3CDTF">2016-09-15T23:14:47Z</dcterms:created>
  <dcterms:modified xsi:type="dcterms:W3CDTF">2025-12-05T18:57:23Z</dcterms:modified>
</cp:coreProperties>
</file>