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bclaude\"/>
    </mc:Choice>
  </mc:AlternateContent>
  <xr:revisionPtr revIDLastSave="0" documentId="13_ncr:1_{71350964-5FE3-4922-8A67-B40C9F8B31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nk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01" i="1" l="1"/>
  <c r="AB57" i="1"/>
  <c r="AB35" i="1"/>
  <c r="AB32" i="1"/>
  <c r="AB76" i="1"/>
  <c r="AB73" i="1"/>
  <c r="AB27" i="1"/>
  <c r="AB38" i="1"/>
  <c r="AB115" i="1"/>
  <c r="AB80" i="1"/>
  <c r="AB164" i="1"/>
  <c r="AB163" i="1"/>
  <c r="AB162" i="1"/>
  <c r="AB161" i="1"/>
  <c r="AB160" i="1"/>
  <c r="AB157" i="1"/>
  <c r="AB159" i="1"/>
  <c r="AB158" i="1"/>
  <c r="AB156" i="1"/>
  <c r="AB155" i="1"/>
  <c r="AB153" i="1"/>
  <c r="AB154" i="1"/>
  <c r="AB150" i="1"/>
  <c r="AB152" i="1"/>
  <c r="AB151" i="1"/>
  <c r="AB149" i="1"/>
  <c r="AB148" i="1"/>
  <c r="AB147" i="1"/>
  <c r="AB146" i="1"/>
  <c r="AB141" i="1"/>
  <c r="AB139" i="1"/>
  <c r="AB145" i="1"/>
  <c r="AB144" i="1"/>
  <c r="AB143" i="1"/>
  <c r="AB142" i="1"/>
  <c r="AB140" i="1"/>
  <c r="AB138" i="1"/>
  <c r="AB137" i="1"/>
  <c r="AB136" i="1"/>
  <c r="AB135" i="1"/>
  <c r="AB134" i="1"/>
  <c r="AB133" i="1"/>
  <c r="AB132" i="1"/>
  <c r="AB128" i="1"/>
  <c r="AB131" i="1"/>
  <c r="AB130" i="1"/>
  <c r="AB129" i="1"/>
  <c r="AB127" i="1"/>
  <c r="AB126" i="1"/>
  <c r="AB125" i="1"/>
  <c r="AB124" i="1"/>
  <c r="AB123" i="1"/>
  <c r="AB122" i="1"/>
  <c r="AB121" i="1"/>
  <c r="AB120" i="1"/>
  <c r="AB118" i="1"/>
  <c r="AB119" i="1"/>
  <c r="AB113" i="1"/>
  <c r="AB117" i="1"/>
  <c r="AB116" i="1"/>
  <c r="AB114" i="1"/>
  <c r="AB112" i="1"/>
  <c r="AB108" i="1"/>
  <c r="AB111" i="1"/>
  <c r="AB110" i="1"/>
  <c r="AB109" i="1"/>
  <c r="AB100" i="1"/>
  <c r="AB107" i="1"/>
  <c r="AB104" i="1"/>
  <c r="AB106" i="1"/>
  <c r="AB105" i="1"/>
  <c r="AB103" i="1"/>
  <c r="AB102" i="1"/>
  <c r="AB98" i="1"/>
  <c r="AB99" i="1"/>
  <c r="AB95" i="1"/>
  <c r="AB94" i="1"/>
  <c r="AB96" i="1"/>
  <c r="AB93" i="1"/>
  <c r="AB92" i="1"/>
  <c r="AB91" i="1"/>
  <c r="AB165" i="1"/>
  <c r="AB87" i="1"/>
  <c r="AB90" i="1"/>
  <c r="AB97" i="1"/>
  <c r="AB89" i="1"/>
  <c r="AB88" i="1"/>
  <c r="AB86" i="1"/>
  <c r="AB78" i="1"/>
  <c r="AB85" i="1"/>
  <c r="AB84" i="1"/>
  <c r="AB83" i="1"/>
  <c r="AB82" i="1"/>
  <c r="AB81" i="1"/>
  <c r="AB79" i="1"/>
  <c r="AB77" i="1"/>
  <c r="AB75" i="1"/>
  <c r="AB74" i="1"/>
  <c r="AB69" i="1"/>
  <c r="AB72" i="1"/>
  <c r="AB71" i="1"/>
  <c r="AB68" i="1"/>
  <c r="AB67" i="1"/>
  <c r="AB66" i="1"/>
  <c r="AB65" i="1"/>
  <c r="AB64" i="1"/>
  <c r="AB61" i="1"/>
  <c r="AB63" i="1"/>
  <c r="AB62" i="1"/>
  <c r="AB60" i="1"/>
  <c r="AB58" i="1"/>
  <c r="AB56" i="1"/>
  <c r="AB51" i="1"/>
  <c r="AB55" i="1"/>
  <c r="AB54" i="1"/>
  <c r="AB53" i="1"/>
  <c r="AB52" i="1"/>
  <c r="AB59" i="1"/>
  <c r="AB48" i="1"/>
  <c r="AB46" i="1"/>
  <c r="AB50" i="1"/>
  <c r="AB49" i="1"/>
  <c r="AB47" i="1"/>
  <c r="AB45" i="1"/>
  <c r="AB44" i="1"/>
  <c r="AB43" i="1"/>
  <c r="AB42" i="1"/>
  <c r="AB41" i="1"/>
  <c r="AB40" i="1"/>
  <c r="AB39" i="1"/>
  <c r="AB70" i="1"/>
  <c r="AB33" i="1"/>
  <c r="AB37" i="1"/>
  <c r="AB36" i="1"/>
  <c r="AB34" i="1"/>
  <c r="AB31" i="1"/>
  <c r="AB30" i="1"/>
  <c r="AB29" i="1"/>
  <c r="AB28" i="1"/>
  <c r="AB26" i="1"/>
  <c r="AB24" i="1"/>
  <c r="AB23" i="1"/>
  <c r="AB22" i="1"/>
  <c r="AB21" i="1"/>
  <c r="AB25" i="1"/>
  <c r="AB19" i="1"/>
  <c r="AB18" i="1"/>
  <c r="AB16" i="1"/>
  <c r="AB14" i="1"/>
  <c r="AB20" i="1"/>
  <c r="AB13" i="1"/>
  <c r="AB11" i="1"/>
  <c r="AB17" i="1"/>
  <c r="AB12" i="1"/>
  <c r="AB15" i="1"/>
  <c r="AB10" i="1"/>
  <c r="AB8" i="1"/>
  <c r="AB7" i="1"/>
  <c r="AB6" i="1"/>
  <c r="AB5" i="1"/>
  <c r="AB4" i="1"/>
  <c r="AB9" i="1"/>
  <c r="AB3" i="1"/>
  <c r="AB2" i="1"/>
</calcChain>
</file>

<file path=xl/sharedStrings.xml><?xml version="1.0" encoding="utf-8"?>
<sst xmlns="http://schemas.openxmlformats.org/spreadsheetml/2006/main" count="988" uniqueCount="413">
  <si>
    <t>PID</t>
  </si>
  <si>
    <t>FirstName</t>
  </si>
  <si>
    <t>LastName</t>
  </si>
  <si>
    <t>Position</t>
  </si>
  <si>
    <t>Age</t>
  </si>
  <si>
    <t>PA</t>
  </si>
  <si>
    <t>HR</t>
  </si>
  <si>
    <t>Career_Games_Played</t>
  </si>
  <si>
    <t>Career_Games_Possible</t>
  </si>
  <si>
    <t>Career_Availability_Pct</t>
  </si>
  <si>
    <t>Win_Pct</t>
  </si>
  <si>
    <t>Career_Wins</t>
  </si>
  <si>
    <t>Career_Losses</t>
  </si>
  <si>
    <t>convBA_F25</t>
  </si>
  <si>
    <t>convBA_S25</t>
  </si>
  <si>
    <t>convBA_W25</t>
  </si>
  <si>
    <t>convBA+_F25</t>
  </si>
  <si>
    <t>convBA+_S25</t>
  </si>
  <si>
    <t>convBA+_W25</t>
  </si>
  <si>
    <t>Weighted_convBA+</t>
  </si>
  <si>
    <t>Seasons_Used</t>
  </si>
  <si>
    <t>Confidence</t>
  </si>
  <si>
    <t>Confidence_Pct</t>
  </si>
  <si>
    <t>Def_Spectrum_Pts</t>
  </si>
  <si>
    <t>Age_Factor</t>
  </si>
  <si>
    <t>Manual_Adj</t>
  </si>
  <si>
    <t>Availability_Adj</t>
  </si>
  <si>
    <t>Ranking_Score</t>
  </si>
  <si>
    <t>Availability</t>
  </si>
  <si>
    <t>Brian</t>
  </si>
  <si>
    <t>Brown</t>
  </si>
  <si>
    <t>MI</t>
  </si>
  <si>
    <t>F25, S25, W25</t>
  </si>
  <si>
    <t>A</t>
  </si>
  <si>
    <t>around 2 games</t>
  </si>
  <si>
    <t>Mike</t>
  </si>
  <si>
    <t>Cudworth</t>
  </si>
  <si>
    <t>LC</t>
  </si>
  <si>
    <t>F25, W24, F23</t>
  </si>
  <si>
    <t>I will miss 2 games due to tournaments, I don't have the dates yet.</t>
  </si>
  <si>
    <t>Kevin</t>
  </si>
  <si>
    <t>Hayes</t>
  </si>
  <si>
    <t>P</t>
  </si>
  <si>
    <t>W25, W24, W23</t>
  </si>
  <si>
    <t>Left knee injury. Enter badge ID as 123456 as I won't have my ID until I arrive in January-will supply then.</t>
  </si>
  <si>
    <t>Tim</t>
  </si>
  <si>
    <t>Walker</t>
  </si>
  <si>
    <t>LF</t>
  </si>
  <si>
    <t>F25, W25</t>
  </si>
  <si>
    <t>B</t>
  </si>
  <si>
    <t>Might miss a couple Fridays due to travel/tournament ball.</t>
  </si>
  <si>
    <t>Scott</t>
  </si>
  <si>
    <t>Jackson</t>
  </si>
  <si>
    <t>One week for vacation not sure of the date</t>
  </si>
  <si>
    <t>Dave</t>
  </si>
  <si>
    <t>Glover</t>
  </si>
  <si>
    <t>F25, W25, F24</t>
  </si>
  <si>
    <t>Should be available entire season.</t>
  </si>
  <si>
    <t>Craig</t>
  </si>
  <si>
    <t>Horton</t>
  </si>
  <si>
    <t>Undetermined</t>
  </si>
  <si>
    <t>Sanders</t>
  </si>
  <si>
    <t>There may be a few Fridays missed due to tournament commitments.  Will know more when the sanctions publish their schedules most likely in December.</t>
  </si>
  <si>
    <t>Glen</t>
  </si>
  <si>
    <t>Noll</t>
  </si>
  <si>
    <t>maybe up to 3 tournaments on Fridays.
May need a runner 25% of the time (Pete, its done)</t>
  </si>
  <si>
    <t>Jim</t>
  </si>
  <si>
    <t>Keller</t>
  </si>
  <si>
    <t>Out jan 16
Peroni's acts up on full moons. It pulls it to the right. But i still get marcos</t>
  </si>
  <si>
    <t>Eric</t>
  </si>
  <si>
    <t>Janosov</t>
  </si>
  <si>
    <t>SS</t>
  </si>
  <si>
    <t>I currently do not have my tournament schedule for 2026</t>
  </si>
  <si>
    <t>Kirby</t>
  </si>
  <si>
    <t>Herschberger</t>
  </si>
  <si>
    <t>Will miss Feb 25th. May miss Jan 30th depends on game time. I had right hip replaced Nov 5th. I'm doing really well. I think I'll be able to play at 75%-80% by start of season. If you want to know how I'm feeling you can call me on draft day or before.</t>
  </si>
  <si>
    <t>Atkin</t>
  </si>
  <si>
    <t>RC</t>
  </si>
  <si>
    <t>OUT: Jan 23, Jan 30, Mar 13, Apr 10 and likely 2 more dates.</t>
  </si>
  <si>
    <t>Peter</t>
  </si>
  <si>
    <t>Zrinski</t>
  </si>
  <si>
    <t>Darrell</t>
  </si>
  <si>
    <t>Phillips</t>
  </si>
  <si>
    <t>Cesar</t>
  </si>
  <si>
    <t>Gelle</t>
  </si>
  <si>
    <t>F25</t>
  </si>
  <si>
    <t>D</t>
  </si>
  <si>
    <t>Jason</t>
  </si>
  <si>
    <t>Johnson</t>
  </si>
  <si>
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</si>
  <si>
    <t>David</t>
  </si>
  <si>
    <t>Teasley</t>
  </si>
  <si>
    <t>2B</t>
  </si>
  <si>
    <t>S25</t>
  </si>
  <si>
    <t>F</t>
  </si>
  <si>
    <t>May need an occasional runner</t>
  </si>
  <si>
    <t>Terry</t>
  </si>
  <si>
    <t>Jozefiak</t>
  </si>
  <si>
    <t>Bill</t>
  </si>
  <si>
    <t>Devine</t>
  </si>
  <si>
    <t>Patrick</t>
  </si>
  <si>
    <t>Sipkovsky</t>
  </si>
  <si>
    <t>W25</t>
  </si>
  <si>
    <t>ISSA/WBSC World Tournament of Champions - should only miss 1/30/26</t>
  </si>
  <si>
    <t>Mark</t>
  </si>
  <si>
    <t>Golden</t>
  </si>
  <si>
    <t>W25, F24, W24</t>
  </si>
  <si>
    <t>Possibly a tournament or 2</t>
  </si>
  <si>
    <t>Baxter</t>
  </si>
  <si>
    <t>Anthony</t>
  </si>
  <si>
    <t>Saracino</t>
  </si>
  <si>
    <t>F25, W25, W24</t>
  </si>
  <si>
    <t>Ron</t>
  </si>
  <si>
    <t>Stauffer</t>
  </si>
  <si>
    <t>Ray</t>
  </si>
  <si>
    <t>Pour</t>
  </si>
  <si>
    <t>At this time, I will miss 0 games</t>
  </si>
  <si>
    <t>Rich</t>
  </si>
  <si>
    <t>Lapat</t>
  </si>
  <si>
    <t>I may have to travel for work, I usually only travel about once a quarter for roughly a week. I won't know of any trips until approximately 2 weeks prior.</t>
  </si>
  <si>
    <t>Robert</t>
  </si>
  <si>
    <t>Myers</t>
  </si>
  <si>
    <t>Out of town on March 13 and April 3</t>
  </si>
  <si>
    <t>Gary</t>
  </si>
  <si>
    <t>Allen</t>
  </si>
  <si>
    <t>Start of 2026 winter season</t>
  </si>
  <si>
    <t>Rick</t>
  </si>
  <si>
    <t>Sunderman</t>
  </si>
  <si>
    <t>Could miss couple for tournaments do not have dates yet</t>
  </si>
  <si>
    <t>Dean</t>
  </si>
  <si>
    <t>LaFlamme</t>
  </si>
  <si>
    <t>Presently none.  Might have an odd day here or there</t>
  </si>
  <si>
    <t>Christopher</t>
  </si>
  <si>
    <t>Altemus</t>
  </si>
  <si>
    <t>March 4, 2026
March 6, 2026</t>
  </si>
  <si>
    <t>Winters</t>
  </si>
  <si>
    <t>3B</t>
  </si>
  <si>
    <t>Chuck</t>
  </si>
  <si>
    <t>Greene</t>
  </si>
  <si>
    <t>1B</t>
  </si>
  <si>
    <t>I'm having knees issues.  Unsure whether I'll need a runner.  Unknown on missing games. May miss some games due to work.</t>
  </si>
  <si>
    <t>Doug</t>
  </si>
  <si>
    <t>Goslee</t>
  </si>
  <si>
    <t>RF</t>
  </si>
  <si>
    <t>BAD KNEES</t>
  </si>
  <si>
    <t>Troy</t>
  </si>
  <si>
    <t>Soeder</t>
  </si>
  <si>
    <t>D1 Board - Please try to have the season end by 2 April. I have coordinated ~15 players to work security at the Masters and we have to be a "out of town" employee training on Friday 3 April.</t>
  </si>
  <si>
    <t>McDermott</t>
  </si>
  <si>
    <t>march 4 &amp; 6 vacation</t>
  </si>
  <si>
    <t>Okunze</t>
  </si>
  <si>
    <t>None at this time</t>
  </si>
  <si>
    <t>Bert</t>
  </si>
  <si>
    <t>Owens</t>
  </si>
  <si>
    <t>away w/e 1/17/2026</t>
  </si>
  <si>
    <t>Donny</t>
  </si>
  <si>
    <t>Meyer</t>
  </si>
  <si>
    <t>1/7/26</t>
  </si>
  <si>
    <t>Michael</t>
  </si>
  <si>
    <t>vacation: 2/11, 13 and maybe 18.  60 caliber travel team - tournaments tbd</t>
  </si>
  <si>
    <t>Matt</t>
  </si>
  <si>
    <t>Socha</t>
  </si>
  <si>
    <t>Left hamstring injury continuing.</t>
  </si>
  <si>
    <t>Kenyon</t>
  </si>
  <si>
    <t>No dates missed</t>
  </si>
  <si>
    <t>Ryan</t>
  </si>
  <si>
    <t>Hilmer</t>
  </si>
  <si>
    <t>I am planning a knee replacement for the end of winter season. I can hit okay, play 1st base, catcher, and probably 3rd base reasonably well, but am limited in my running and range. I will likely need a runner most times.</t>
  </si>
  <si>
    <t>Faggiana</t>
  </si>
  <si>
    <t>Paul</t>
  </si>
  <si>
    <t>Davis</t>
  </si>
  <si>
    <t>Gone January 15-18</t>
  </si>
  <si>
    <t>Christensen</t>
  </si>
  <si>
    <t>none</t>
  </si>
  <si>
    <t>Koblas</t>
  </si>
  <si>
    <t>Fortier</t>
  </si>
  <si>
    <t>S25, W25, F24</t>
  </si>
  <si>
    <t>Will make all games</t>
  </si>
  <si>
    <t>Shawn</t>
  </si>
  <si>
    <t>Mulholland</t>
  </si>
  <si>
    <t>Jose</t>
  </si>
  <si>
    <t>Almaguer</t>
  </si>
  <si>
    <t>Vacation Jan. 18 - Jan. 25</t>
  </si>
  <si>
    <t>Dan</t>
  </si>
  <si>
    <t>Osredkar</t>
  </si>
  <si>
    <t>0</t>
  </si>
  <si>
    <t>Bond</t>
  </si>
  <si>
    <t>Jeff</t>
  </si>
  <si>
    <t>Gunn</t>
  </si>
  <si>
    <t xml:space="preserve">MI </t>
  </si>
  <si>
    <t>Keith</t>
  </si>
  <si>
    <t>Egofske</t>
  </si>
  <si>
    <t>C</t>
  </si>
  <si>
    <t>Will most likely miss the first week of the season. Bad hamstring injured late in the Fall season.</t>
  </si>
  <si>
    <t>Sadler</t>
  </si>
  <si>
    <t>No planned missed dates.</t>
  </si>
  <si>
    <t>Hanna</t>
  </si>
  <si>
    <t>S25, F24, S24</t>
  </si>
  <si>
    <t>Miller</t>
  </si>
  <si>
    <t>No known missed dates</t>
  </si>
  <si>
    <t>Nash</t>
  </si>
  <si>
    <t>Will be out February 11, 13, 27 and April 1</t>
  </si>
  <si>
    <t>Arenella</t>
  </si>
  <si>
    <t>No dates to be missed at this time
No injuries or limitations</t>
  </si>
  <si>
    <t>Brad</t>
  </si>
  <si>
    <t>West</t>
  </si>
  <si>
    <t>nothing</t>
  </si>
  <si>
    <t>Jones</t>
  </si>
  <si>
    <t>Fred</t>
  </si>
  <si>
    <t>Leibowitz</t>
  </si>
  <si>
    <t>Possibly a few games (3) missed in January.</t>
  </si>
  <si>
    <t>Valley</t>
  </si>
  <si>
    <t>Available all dates.</t>
  </si>
  <si>
    <t>Fugate</t>
  </si>
  <si>
    <t>As of now none planned</t>
  </si>
  <si>
    <t>Steve</t>
  </si>
  <si>
    <t>Spinosa</t>
  </si>
  <si>
    <t>Not available Feb 4 and Feb 6 2026</t>
  </si>
  <si>
    <t>Tom</t>
  </si>
  <si>
    <t>Pratt</t>
  </si>
  <si>
    <t>3 games</t>
  </si>
  <si>
    <t>Joey</t>
  </si>
  <si>
    <t>Doyle</t>
  </si>
  <si>
    <t>Motta</t>
  </si>
  <si>
    <t>Unknown at this time</t>
  </si>
  <si>
    <t>Jamie</t>
  </si>
  <si>
    <t>Hall</t>
  </si>
  <si>
    <t>Hage</t>
  </si>
  <si>
    <t>Shurman</t>
  </si>
  <si>
    <t>F25, F24, S24</t>
  </si>
  <si>
    <t>Jan</t>
  </si>
  <si>
    <t>Held</t>
  </si>
  <si>
    <t>Will miss 3-4 games due to tournaments.</t>
  </si>
  <si>
    <t>Greg</t>
  </si>
  <si>
    <t>Williams</t>
  </si>
  <si>
    <t>No dates scheduled to be missed. Previous rotator cuff surgery on throwing shoulder prevents me from playing SS.</t>
  </si>
  <si>
    <t>Welch</t>
  </si>
  <si>
    <t>I am coming off a groin area tear and will need to start the season at 1B or C.  Right now everything feels great looks like it will be  healed thru rehab, etc and hopefully I will be good to play OF (if needed) starting in February.  I will be gone 1/24-31</t>
  </si>
  <si>
    <t>Bormann</t>
  </si>
  <si>
    <t>Schnell</t>
  </si>
  <si>
    <t>Kelly</t>
  </si>
  <si>
    <t>Gavin</t>
  </si>
  <si>
    <t>Mason</t>
  </si>
  <si>
    <t>F24, S24, W24</t>
  </si>
  <si>
    <t>Week vacation in March, no dates set.</t>
  </si>
  <si>
    <t>Ernie</t>
  </si>
  <si>
    <t>Vandersteen</t>
  </si>
  <si>
    <t>Won't miss</t>
  </si>
  <si>
    <t>Sean</t>
  </si>
  <si>
    <t>O'Sullivan</t>
  </si>
  <si>
    <t>W25, F22, W21</t>
  </si>
  <si>
    <t>1 week February 17 to 25</t>
  </si>
  <si>
    <t>Frank</t>
  </si>
  <si>
    <t>Randazzo</t>
  </si>
  <si>
    <t>F23, S23, W23</t>
  </si>
  <si>
    <t>Royce</t>
  </si>
  <si>
    <t>Missing Mar 9-13 for tournament.</t>
  </si>
  <si>
    <t>Propert</t>
  </si>
  <si>
    <t>Jeffrey</t>
  </si>
  <si>
    <t>Lyons</t>
  </si>
  <si>
    <t>None missed</t>
  </si>
  <si>
    <t>Don</t>
  </si>
  <si>
    <t>Geisler</t>
  </si>
  <si>
    <t>Wiener</t>
  </si>
  <si>
    <t>Available for all games</t>
  </si>
  <si>
    <t>Randy</t>
  </si>
  <si>
    <t>Murgittroyd</t>
  </si>
  <si>
    <t>Staub</t>
  </si>
  <si>
    <t>W25, F22, W22</t>
  </si>
  <si>
    <t>Not sure of dates missed yet. Might be a few..
No injuries</t>
  </si>
  <si>
    <t>Webb</t>
  </si>
  <si>
    <t>Out of town 2nd week of February, missing both games that week.</t>
  </si>
  <si>
    <t>Quirk</t>
  </si>
  <si>
    <t>Wade</t>
  </si>
  <si>
    <t>Maribito</t>
  </si>
  <si>
    <t>No limitations</t>
  </si>
  <si>
    <t>Joe</t>
  </si>
  <si>
    <t>Phipps</t>
  </si>
  <si>
    <t>Thomas</t>
  </si>
  <si>
    <t>no dates missed</t>
  </si>
  <si>
    <t>Pfundstein</t>
  </si>
  <si>
    <t>May miss 1 or 2 games in  Feb.</t>
  </si>
  <si>
    <t>Chris</t>
  </si>
  <si>
    <t>Schubert</t>
  </si>
  <si>
    <t>Vacation - 1/7, 1/9, 3/18 &amp; 3/20</t>
  </si>
  <si>
    <t>Abildgaard</t>
  </si>
  <si>
    <t>Calvin</t>
  </si>
  <si>
    <t>Driskill</t>
  </si>
  <si>
    <t>S25, W25, S24</t>
  </si>
  <si>
    <t>Bob</t>
  </si>
  <si>
    <t>Fingerhut</t>
  </si>
  <si>
    <t>Available entire season, no injuries or limitations.</t>
  </si>
  <si>
    <t>Trey</t>
  </si>
  <si>
    <t>Cruser</t>
  </si>
  <si>
    <t>Jack</t>
  </si>
  <si>
    <t>Reed</t>
  </si>
  <si>
    <t>W25, W24</t>
  </si>
  <si>
    <t>No limitations, no travel planned</t>
  </si>
  <si>
    <t>Merz</t>
  </si>
  <si>
    <t>No anticipated absences at this time.</t>
  </si>
  <si>
    <t>Maxwell</t>
  </si>
  <si>
    <t>On a cruise Jan 31-Feb 7 (2 games)</t>
  </si>
  <si>
    <t>Mack</t>
  </si>
  <si>
    <t>Burke</t>
  </si>
  <si>
    <t>Cataldi</t>
  </si>
  <si>
    <t>No Limitations. I should be here for the entire season.</t>
  </si>
  <si>
    <t>Riley</t>
  </si>
  <si>
    <t>Moyer</t>
  </si>
  <si>
    <t>Na</t>
  </si>
  <si>
    <t>Boyden</t>
  </si>
  <si>
    <t>F25, W25, S24</t>
  </si>
  <si>
    <t>Miss all games after 4/6/26</t>
  </si>
  <si>
    <t>Domeier</t>
  </si>
  <si>
    <t>Kurtis</t>
  </si>
  <si>
    <t>Lamb</t>
  </si>
  <si>
    <t>Turney</t>
  </si>
  <si>
    <t>F25, S25</t>
  </si>
  <si>
    <t>Possible vacation Mar 21-30, 2026</t>
  </si>
  <si>
    <t>Cecil</t>
  </si>
  <si>
    <t>Rankin</t>
  </si>
  <si>
    <t>Rivard</t>
  </si>
  <si>
    <t>Diliddo</t>
  </si>
  <si>
    <t>#6 DILIDDO XL
#6 DILIDDO. SM
Resubmit...</t>
  </si>
  <si>
    <t>Bohn</t>
  </si>
  <si>
    <t>none known</t>
  </si>
  <si>
    <t>Warble</t>
  </si>
  <si>
    <t>Linwood</t>
  </si>
  <si>
    <t>Manning</t>
  </si>
  <si>
    <t>Darwin</t>
  </si>
  <si>
    <t>Roth</t>
  </si>
  <si>
    <t>I currently have no dates for missing games for this season.  I Will notify manager if I do have any come up.</t>
  </si>
  <si>
    <t>Otman</t>
  </si>
  <si>
    <t>Twohig</t>
  </si>
  <si>
    <t>21 to 27 Feb</t>
  </si>
  <si>
    <t>Ford</t>
  </si>
  <si>
    <t>Buchanan</t>
  </si>
  <si>
    <t>William</t>
  </si>
  <si>
    <t>Saar</t>
  </si>
  <si>
    <t>W25, W24, F23</t>
  </si>
  <si>
    <t>John</t>
  </si>
  <si>
    <t>Christo</t>
  </si>
  <si>
    <t>Will be away Feb 2 through Feb 10.    Should be at all other games.</t>
  </si>
  <si>
    <t>Wayne</t>
  </si>
  <si>
    <t>Hauser</t>
  </si>
  <si>
    <t>no misses at this time</t>
  </si>
  <si>
    <t>Samuel</t>
  </si>
  <si>
    <t>Harrison</t>
  </si>
  <si>
    <t>Brimer</t>
  </si>
  <si>
    <t>None anticipated</t>
  </si>
  <si>
    <t>Kleisinger</t>
  </si>
  <si>
    <t>Will miss. 3/4/2026 and 3/6/2026</t>
  </si>
  <si>
    <t>Pete</t>
  </si>
  <si>
    <t>Glowacki</t>
  </si>
  <si>
    <t>Shelley</t>
  </si>
  <si>
    <t>Missing Jan 9 and potentially one week during season</t>
  </si>
  <si>
    <t>Sellars</t>
  </si>
  <si>
    <t>Limited running</t>
  </si>
  <si>
    <t>Bruce</t>
  </si>
  <si>
    <t>Breiner</t>
  </si>
  <si>
    <t>2/4 and 2/6</t>
  </si>
  <si>
    <t>Bergman</t>
  </si>
  <si>
    <t>Link</t>
  </si>
  <si>
    <t>Bernie</t>
  </si>
  <si>
    <t>Schmidt</t>
  </si>
  <si>
    <t>Missing last week of January for tournament</t>
  </si>
  <si>
    <t>Dennis</t>
  </si>
  <si>
    <t>DeVooght</t>
  </si>
  <si>
    <t>Jay</t>
  </si>
  <si>
    <t>Ketcik</t>
  </si>
  <si>
    <t>Hank</t>
  </si>
  <si>
    <t>Culley</t>
  </si>
  <si>
    <t>3-5 games</t>
  </si>
  <si>
    <t>DiCarlo</t>
  </si>
  <si>
    <t>Will miss 3 games:  Jan 23, 28, 30</t>
  </si>
  <si>
    <t>Rapps</t>
  </si>
  <si>
    <t>Available entire season</t>
  </si>
  <si>
    <t>Steven</t>
  </si>
  <si>
    <t>Hagen</t>
  </si>
  <si>
    <t>N A</t>
  </si>
  <si>
    <t>Geiler</t>
  </si>
  <si>
    <t>All season</t>
  </si>
  <si>
    <t>Cahill</t>
  </si>
  <si>
    <t>None at this time.</t>
  </si>
  <si>
    <t>Loftin</t>
  </si>
  <si>
    <t>Mitchell</t>
  </si>
  <si>
    <t>None Known</t>
  </si>
  <si>
    <t>Dahlquist</t>
  </si>
  <si>
    <t>none at this time</t>
  </si>
  <si>
    <t>Tripp</t>
  </si>
  <si>
    <t>O'Connor</t>
  </si>
  <si>
    <t>Darrel</t>
  </si>
  <si>
    <t>Smith</t>
  </si>
  <si>
    <t>Nutley</t>
  </si>
  <si>
    <t>Missing Mar 11 &amp; 13; April 8 &amp; 10</t>
  </si>
  <si>
    <t>Margevicius</t>
  </si>
  <si>
    <t>Albertsen</t>
  </si>
  <si>
    <t>NEW</t>
  </si>
  <si>
    <t>Costello</t>
  </si>
  <si>
    <t>No issues</t>
  </si>
  <si>
    <t>James</t>
  </si>
  <si>
    <t>No Known</t>
  </si>
  <si>
    <t>Freeman</t>
  </si>
  <si>
    <t>Genova</t>
  </si>
  <si>
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</si>
  <si>
    <t>Keane</t>
  </si>
  <si>
    <t>feb 25 and 27th</t>
  </si>
  <si>
    <t>Meeker</t>
  </si>
  <si>
    <t>None known</t>
  </si>
  <si>
    <t>Mossing</t>
  </si>
  <si>
    <t>Available for entire season</t>
  </si>
  <si>
    <t>Would not miss any less injury!🫣</t>
  </si>
  <si>
    <t>Rutherford</t>
  </si>
  <si>
    <t>Jan - Mar available (or mid April)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</si>
</sst>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5"/>
  <sheetViews>
    <sheetView tabSelected="1" workbookViewId="0">
      <pane ySplit="1" topLeftCell="A2" activePane="bottomLeft" state="frozen"/>
      <selection pane="bottomLeft" activeCell="J10" sqref="J10"/>
    </sheetView>
  </sheetViews>
  <sheetFormatPr defaultRowHeight="15" x14ac:dyDescent="0.25"/>
  <cols>
    <col min="28" max="28" width="9.140625" style="8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7"/>
      <c r="AC1" s="1" t="s">
        <v>27</v>
      </c>
      <c r="AD1" s="1" t="s">
        <v>28</v>
      </c>
    </row>
    <row r="2" spans="1:30" s="3" customFormat="1" x14ac:dyDescent="0.25">
      <c r="A2" s="3">
        <v>478</v>
      </c>
      <c r="B2" s="3" t="s">
        <v>29</v>
      </c>
      <c r="C2" s="3" t="s">
        <v>30</v>
      </c>
      <c r="D2" s="3" t="s">
        <v>31</v>
      </c>
      <c r="E2" s="3">
        <v>61</v>
      </c>
      <c r="F2" s="3">
        <v>86</v>
      </c>
      <c r="G2" s="3">
        <v>26</v>
      </c>
      <c r="H2" s="3">
        <v>161</v>
      </c>
      <c r="I2" s="3">
        <v>189</v>
      </c>
      <c r="J2" s="3">
        <v>85.2</v>
      </c>
      <c r="K2" s="4">
        <v>0.47499999999999998</v>
      </c>
      <c r="L2" s="3">
        <v>76</v>
      </c>
      <c r="M2" s="3">
        <v>84</v>
      </c>
      <c r="N2" s="4">
        <v>0.40600000000000003</v>
      </c>
      <c r="O2" s="4">
        <v>0.45200000000000001</v>
      </c>
      <c r="P2" s="4">
        <v>0.442</v>
      </c>
      <c r="Q2" s="3">
        <v>159</v>
      </c>
      <c r="R2" s="3">
        <v>180</v>
      </c>
      <c r="S2" s="3">
        <v>171</v>
      </c>
      <c r="T2" s="3">
        <v>167.6</v>
      </c>
      <c r="U2" s="3" t="s">
        <v>32</v>
      </c>
      <c r="V2" s="3" t="s">
        <v>33</v>
      </c>
      <c r="W2" s="3">
        <v>100</v>
      </c>
      <c r="X2" s="3">
        <v>3.5</v>
      </c>
      <c r="Y2" s="3">
        <v>3</v>
      </c>
      <c r="Z2" s="3">
        <v>0</v>
      </c>
      <c r="AA2" s="3">
        <v>1</v>
      </c>
      <c r="AB2" s="3">
        <f>AC2+Z2</f>
        <v>175.1</v>
      </c>
      <c r="AC2" s="3">
        <v>175.1</v>
      </c>
      <c r="AD2" s="3" t="s">
        <v>34</v>
      </c>
    </row>
    <row r="3" spans="1:30" s="3" customFormat="1" x14ac:dyDescent="0.25">
      <c r="A3" s="3">
        <v>393</v>
      </c>
      <c r="B3" s="3" t="s">
        <v>35</v>
      </c>
      <c r="C3" s="3" t="s">
        <v>36</v>
      </c>
      <c r="D3" s="3" t="s">
        <v>37</v>
      </c>
      <c r="E3" s="3">
        <v>58</v>
      </c>
      <c r="F3" s="3">
        <v>86</v>
      </c>
      <c r="G3" s="3">
        <v>17</v>
      </c>
      <c r="H3" s="3">
        <v>204</v>
      </c>
      <c r="I3" s="3">
        <v>246</v>
      </c>
      <c r="J3" s="3">
        <v>82.9</v>
      </c>
      <c r="K3" s="4">
        <v>0.52900000000000003</v>
      </c>
      <c r="L3" s="3">
        <v>108</v>
      </c>
      <c r="M3" s="3">
        <v>96</v>
      </c>
      <c r="N3" s="4">
        <v>0.4</v>
      </c>
      <c r="Q3" s="3">
        <v>156</v>
      </c>
      <c r="T3" s="3">
        <v>159.6</v>
      </c>
      <c r="U3" s="3" t="s">
        <v>38</v>
      </c>
      <c r="V3" s="3" t="s">
        <v>33</v>
      </c>
      <c r="W3" s="3">
        <v>100</v>
      </c>
      <c r="X3" s="3">
        <v>4</v>
      </c>
      <c r="Y3" s="3">
        <v>5</v>
      </c>
      <c r="Z3" s="3">
        <v>0</v>
      </c>
      <c r="AA3" s="3">
        <v>1</v>
      </c>
      <c r="AB3" s="3">
        <f>AC3+Z3</f>
        <v>169.6</v>
      </c>
      <c r="AC3" s="3">
        <v>169.6</v>
      </c>
      <c r="AD3" s="3" t="s">
        <v>39</v>
      </c>
    </row>
    <row r="4" spans="1:30" x14ac:dyDescent="0.25">
      <c r="A4" s="3">
        <v>586</v>
      </c>
      <c r="B4" s="3" t="s">
        <v>45</v>
      </c>
      <c r="C4" s="3" t="s">
        <v>46</v>
      </c>
      <c r="D4" s="3" t="s">
        <v>47</v>
      </c>
      <c r="E4" s="3">
        <v>62</v>
      </c>
      <c r="F4" s="3">
        <v>79</v>
      </c>
      <c r="G4" s="3">
        <v>20</v>
      </c>
      <c r="H4" s="3">
        <v>36</v>
      </c>
      <c r="I4" s="3">
        <v>44</v>
      </c>
      <c r="J4" s="3">
        <v>81.8</v>
      </c>
      <c r="K4" s="4">
        <v>0.75</v>
      </c>
      <c r="L4" s="3">
        <v>27</v>
      </c>
      <c r="M4" s="3">
        <v>9</v>
      </c>
      <c r="N4" s="4">
        <v>0.39300000000000002</v>
      </c>
      <c r="O4" s="3"/>
      <c r="P4" s="4">
        <v>0.36899999999999999</v>
      </c>
      <c r="Q4" s="3">
        <v>154</v>
      </c>
      <c r="R4" s="3"/>
      <c r="S4" s="3">
        <v>143</v>
      </c>
      <c r="T4" s="3">
        <v>149.6</v>
      </c>
      <c r="U4" s="3" t="s">
        <v>48</v>
      </c>
      <c r="V4" s="3" t="s">
        <v>49</v>
      </c>
      <c r="W4" s="3">
        <v>85.9</v>
      </c>
      <c r="X4" s="3">
        <v>2.5</v>
      </c>
      <c r="Y4" s="3">
        <v>3</v>
      </c>
      <c r="Z4" s="3">
        <v>0</v>
      </c>
      <c r="AA4" s="3">
        <v>1</v>
      </c>
      <c r="AB4" s="3">
        <f>AC4+Z4</f>
        <v>156.1</v>
      </c>
      <c r="AC4" s="3">
        <v>156.1</v>
      </c>
      <c r="AD4" s="3" t="s">
        <v>50</v>
      </c>
    </row>
    <row r="5" spans="1:30" s="3" customFormat="1" x14ac:dyDescent="0.25">
      <c r="A5" s="3">
        <v>396</v>
      </c>
      <c r="B5" s="3" t="s">
        <v>51</v>
      </c>
      <c r="C5" s="3" t="s">
        <v>52</v>
      </c>
      <c r="D5" s="3" t="s">
        <v>37</v>
      </c>
      <c r="E5" s="3">
        <v>55</v>
      </c>
      <c r="F5" s="3">
        <v>79</v>
      </c>
      <c r="G5" s="3">
        <v>11</v>
      </c>
      <c r="H5" s="3">
        <v>276</v>
      </c>
      <c r="I5" s="3">
        <v>311</v>
      </c>
      <c r="J5" s="3">
        <v>88.7</v>
      </c>
      <c r="K5" s="4">
        <v>0.51800000000000002</v>
      </c>
      <c r="L5" s="3">
        <v>143</v>
      </c>
      <c r="M5" s="3">
        <v>133</v>
      </c>
      <c r="N5" s="4">
        <v>0.35699999999999998</v>
      </c>
      <c r="O5" s="4">
        <v>0.40400000000000003</v>
      </c>
      <c r="P5" s="4">
        <v>0.314</v>
      </c>
      <c r="Q5" s="3">
        <v>140</v>
      </c>
      <c r="R5" s="3">
        <v>161</v>
      </c>
      <c r="S5" s="3">
        <v>121</v>
      </c>
      <c r="T5" s="3">
        <v>142.30000000000001</v>
      </c>
      <c r="U5" s="3" t="s">
        <v>32</v>
      </c>
      <c r="V5" s="3" t="s">
        <v>33</v>
      </c>
      <c r="W5" s="3">
        <v>97.5</v>
      </c>
      <c r="X5" s="3">
        <v>4</v>
      </c>
      <c r="Y5" s="3">
        <v>5</v>
      </c>
      <c r="Z5" s="3">
        <v>0</v>
      </c>
      <c r="AA5" s="3">
        <v>1</v>
      </c>
      <c r="AB5" s="3">
        <f>AC5+Z5</f>
        <v>152.30000000000001</v>
      </c>
      <c r="AC5" s="3">
        <v>152.30000000000001</v>
      </c>
      <c r="AD5" s="3" t="s">
        <v>53</v>
      </c>
    </row>
    <row r="6" spans="1:30" s="3" customFormat="1" x14ac:dyDescent="0.25">
      <c r="A6" s="3">
        <v>475</v>
      </c>
      <c r="B6" s="3" t="s">
        <v>54</v>
      </c>
      <c r="C6" s="3" t="s">
        <v>55</v>
      </c>
      <c r="D6" s="3" t="s">
        <v>31</v>
      </c>
      <c r="E6" s="3">
        <v>58</v>
      </c>
      <c r="F6" s="3">
        <v>72</v>
      </c>
      <c r="G6" s="3">
        <v>15</v>
      </c>
      <c r="H6" s="3">
        <v>129</v>
      </c>
      <c r="I6" s="3">
        <v>145</v>
      </c>
      <c r="J6" s="3">
        <v>89</v>
      </c>
      <c r="K6" s="4">
        <v>0.38800000000000001</v>
      </c>
      <c r="L6" s="3">
        <v>50</v>
      </c>
      <c r="M6" s="3">
        <v>79</v>
      </c>
      <c r="N6" s="4">
        <v>0.36199999999999999</v>
      </c>
      <c r="P6" s="4">
        <v>0.38700000000000001</v>
      </c>
      <c r="Q6" s="3">
        <v>142</v>
      </c>
      <c r="S6" s="3">
        <v>150</v>
      </c>
      <c r="T6" s="3">
        <v>142.69999999999999</v>
      </c>
      <c r="U6" s="3" t="s">
        <v>56</v>
      </c>
      <c r="V6" s="3" t="s">
        <v>33</v>
      </c>
      <c r="W6" s="3">
        <v>100</v>
      </c>
      <c r="X6" s="3">
        <v>3.5</v>
      </c>
      <c r="Y6" s="3">
        <v>5</v>
      </c>
      <c r="Z6" s="3">
        <v>0</v>
      </c>
      <c r="AA6" s="3">
        <v>1</v>
      </c>
      <c r="AB6" s="3">
        <f>AC6+Z6</f>
        <v>152.19999999999999</v>
      </c>
      <c r="AC6" s="3">
        <v>152.19999999999999</v>
      </c>
      <c r="AD6" s="3" t="s">
        <v>57</v>
      </c>
    </row>
    <row r="7" spans="1:30" x14ac:dyDescent="0.25">
      <c r="A7" s="3">
        <v>477</v>
      </c>
      <c r="B7" s="3" t="s">
        <v>58</v>
      </c>
      <c r="C7" s="3" t="s">
        <v>59</v>
      </c>
      <c r="D7" s="3" t="s">
        <v>31</v>
      </c>
      <c r="E7" s="3">
        <v>57</v>
      </c>
      <c r="F7" s="3">
        <v>83</v>
      </c>
      <c r="G7" s="3">
        <v>16</v>
      </c>
      <c r="H7" s="3">
        <v>149</v>
      </c>
      <c r="I7" s="3">
        <v>184</v>
      </c>
      <c r="J7" s="3">
        <v>81</v>
      </c>
      <c r="K7" s="4">
        <v>0.56399999999999995</v>
      </c>
      <c r="L7" s="3">
        <v>84</v>
      </c>
      <c r="M7" s="3">
        <v>65</v>
      </c>
      <c r="N7" s="4">
        <v>0.39</v>
      </c>
      <c r="O7" s="3"/>
      <c r="P7" s="4">
        <v>0.29799999999999999</v>
      </c>
      <c r="Q7" s="3">
        <v>152</v>
      </c>
      <c r="R7" s="3"/>
      <c r="S7" s="3">
        <v>115</v>
      </c>
      <c r="T7" s="3">
        <v>142</v>
      </c>
      <c r="U7" s="3" t="s">
        <v>56</v>
      </c>
      <c r="V7" s="3" t="s">
        <v>33</v>
      </c>
      <c r="W7" s="3">
        <v>97.5</v>
      </c>
      <c r="X7" s="3">
        <v>3.5</v>
      </c>
      <c r="Y7" s="3">
        <v>5</v>
      </c>
      <c r="Z7" s="3">
        <v>0</v>
      </c>
      <c r="AA7" s="3">
        <v>1</v>
      </c>
      <c r="AB7" s="3">
        <f>AC7+Z7</f>
        <v>151.5</v>
      </c>
      <c r="AC7" s="3">
        <v>151.5</v>
      </c>
      <c r="AD7" s="3" t="s">
        <v>60</v>
      </c>
    </row>
    <row r="8" spans="1:30" s="3" customFormat="1" x14ac:dyDescent="0.25">
      <c r="A8" s="3">
        <v>474</v>
      </c>
      <c r="B8" s="3" t="s">
        <v>54</v>
      </c>
      <c r="C8" s="3" t="s">
        <v>61</v>
      </c>
      <c r="D8" s="3" t="s">
        <v>31</v>
      </c>
      <c r="E8" s="3">
        <v>57</v>
      </c>
      <c r="F8" s="3">
        <v>89</v>
      </c>
      <c r="G8" s="3">
        <v>18</v>
      </c>
      <c r="H8" s="3">
        <v>172</v>
      </c>
      <c r="I8" s="3">
        <v>205</v>
      </c>
      <c r="J8" s="3">
        <v>83.9</v>
      </c>
      <c r="K8" s="4">
        <v>0.54700000000000004</v>
      </c>
      <c r="L8" s="3">
        <v>94</v>
      </c>
      <c r="M8" s="3">
        <v>78</v>
      </c>
      <c r="N8" s="4">
        <v>0.36199999999999999</v>
      </c>
      <c r="O8" s="4">
        <v>0.34499999999999997</v>
      </c>
      <c r="P8" s="4">
        <v>0.38500000000000001</v>
      </c>
      <c r="Q8" s="3">
        <v>142</v>
      </c>
      <c r="R8" s="3">
        <v>137</v>
      </c>
      <c r="S8" s="3">
        <v>149</v>
      </c>
      <c r="T8" s="3">
        <v>141.69999999999999</v>
      </c>
      <c r="U8" s="3" t="s">
        <v>32</v>
      </c>
      <c r="V8" s="3" t="s">
        <v>33</v>
      </c>
      <c r="W8" s="3">
        <v>100</v>
      </c>
      <c r="X8" s="3">
        <v>3.5</v>
      </c>
      <c r="Y8" s="3">
        <v>5</v>
      </c>
      <c r="Z8" s="3">
        <v>0</v>
      </c>
      <c r="AA8" s="3">
        <v>1</v>
      </c>
      <c r="AB8" s="3">
        <f>AC8+Z8</f>
        <v>151.19999999999999</v>
      </c>
      <c r="AC8" s="3">
        <v>151.19999999999999</v>
      </c>
      <c r="AD8" s="3" t="s">
        <v>62</v>
      </c>
    </row>
    <row r="9" spans="1:30" s="3" customFormat="1" x14ac:dyDescent="0.25">
      <c r="A9" s="3">
        <v>492</v>
      </c>
      <c r="B9" s="3" t="s">
        <v>40</v>
      </c>
      <c r="C9" s="3" t="s">
        <v>41</v>
      </c>
      <c r="D9" s="3" t="s">
        <v>42</v>
      </c>
      <c r="E9" s="3">
        <v>68</v>
      </c>
      <c r="F9" s="3">
        <v>0</v>
      </c>
      <c r="G9" s="3">
        <v>0</v>
      </c>
      <c r="H9" s="3">
        <v>63</v>
      </c>
      <c r="I9" s="3">
        <v>66</v>
      </c>
      <c r="J9" s="3">
        <v>95.5</v>
      </c>
      <c r="K9" s="4">
        <v>0.61899999999999999</v>
      </c>
      <c r="L9" s="3">
        <v>39</v>
      </c>
      <c r="M9" s="3">
        <v>24</v>
      </c>
      <c r="N9" s="4">
        <v>0</v>
      </c>
      <c r="P9" s="4">
        <v>0.40300000000000002</v>
      </c>
      <c r="Q9" s="3">
        <v>0</v>
      </c>
      <c r="S9" s="3">
        <v>156</v>
      </c>
      <c r="T9" s="3">
        <v>153.30000000000001</v>
      </c>
      <c r="U9" s="3" t="s">
        <v>43</v>
      </c>
      <c r="V9" s="3" t="s">
        <v>33</v>
      </c>
      <c r="W9" s="3">
        <v>100</v>
      </c>
      <c r="X9" s="3">
        <v>1</v>
      </c>
      <c r="Y9" s="3">
        <v>1</v>
      </c>
      <c r="Z9" s="3">
        <v>-10</v>
      </c>
      <c r="AA9" s="3">
        <v>2</v>
      </c>
      <c r="AB9" s="3">
        <f>AC9+Z9</f>
        <v>147.30000000000001</v>
      </c>
      <c r="AC9" s="3">
        <v>157.30000000000001</v>
      </c>
      <c r="AD9" s="3" t="s">
        <v>44</v>
      </c>
    </row>
    <row r="10" spans="1:30" x14ac:dyDescent="0.25">
      <c r="A10">
        <v>454</v>
      </c>
      <c r="B10" t="s">
        <v>63</v>
      </c>
      <c r="C10" t="s">
        <v>64</v>
      </c>
      <c r="D10" t="s">
        <v>31</v>
      </c>
      <c r="E10">
        <v>63</v>
      </c>
      <c r="F10">
        <v>58</v>
      </c>
      <c r="G10">
        <v>4</v>
      </c>
      <c r="H10">
        <v>148</v>
      </c>
      <c r="I10">
        <v>212</v>
      </c>
      <c r="J10">
        <v>69.8</v>
      </c>
      <c r="K10" s="2">
        <v>0.60099999999999998</v>
      </c>
      <c r="L10">
        <v>89</v>
      </c>
      <c r="M10">
        <v>59</v>
      </c>
      <c r="N10" s="2">
        <v>0.34100000000000003</v>
      </c>
      <c r="O10" s="2">
        <v>0.33800000000000002</v>
      </c>
      <c r="P10" s="2">
        <v>0.51500000000000001</v>
      </c>
      <c r="Q10">
        <v>133</v>
      </c>
      <c r="R10">
        <v>135</v>
      </c>
      <c r="S10">
        <v>199</v>
      </c>
      <c r="T10">
        <v>146.69999999999999</v>
      </c>
      <c r="U10" t="s">
        <v>32</v>
      </c>
      <c r="V10" t="s">
        <v>49</v>
      </c>
      <c r="W10">
        <v>87.5</v>
      </c>
      <c r="X10">
        <v>3.5</v>
      </c>
      <c r="Y10">
        <v>3</v>
      </c>
      <c r="Z10">
        <v>-8</v>
      </c>
      <c r="AA10">
        <v>-2</v>
      </c>
      <c r="AB10" s="8">
        <f>AC10+Z10</f>
        <v>143.19999999999999</v>
      </c>
      <c r="AC10">
        <v>151.19999999999999</v>
      </c>
      <c r="AD10" t="s">
        <v>65</v>
      </c>
    </row>
    <row r="11" spans="1:30" s="3" customFormat="1" x14ac:dyDescent="0.25">
      <c r="A11" s="3">
        <v>301</v>
      </c>
      <c r="B11" s="3" t="s">
        <v>51</v>
      </c>
      <c r="C11" s="3" t="s">
        <v>76</v>
      </c>
      <c r="D11" s="3" t="s">
        <v>77</v>
      </c>
      <c r="E11" s="3">
        <v>62</v>
      </c>
      <c r="F11" s="3">
        <v>75</v>
      </c>
      <c r="G11" s="3">
        <v>11</v>
      </c>
      <c r="H11" s="3">
        <v>289</v>
      </c>
      <c r="I11" s="3">
        <v>376</v>
      </c>
      <c r="J11" s="3">
        <v>76.900000000000006</v>
      </c>
      <c r="K11" s="4">
        <v>0.53600000000000003</v>
      </c>
      <c r="L11" s="3">
        <v>155</v>
      </c>
      <c r="M11" s="3">
        <v>134</v>
      </c>
      <c r="N11" s="4">
        <v>0.34899999999999998</v>
      </c>
      <c r="O11" s="4">
        <v>0.34499999999999997</v>
      </c>
      <c r="P11" s="4">
        <v>0.32600000000000001</v>
      </c>
      <c r="Q11" s="3">
        <v>136</v>
      </c>
      <c r="R11" s="3">
        <v>137</v>
      </c>
      <c r="S11" s="3">
        <v>126</v>
      </c>
      <c r="T11" s="3">
        <v>134.5</v>
      </c>
      <c r="U11" s="3" t="s">
        <v>32</v>
      </c>
      <c r="V11" s="3" t="s">
        <v>33</v>
      </c>
      <c r="W11" s="3">
        <v>100</v>
      </c>
      <c r="X11" s="3">
        <v>4</v>
      </c>
      <c r="Y11" s="3">
        <v>3</v>
      </c>
      <c r="Z11" s="3">
        <v>0</v>
      </c>
      <c r="AA11" s="3">
        <v>0</v>
      </c>
      <c r="AB11" s="3">
        <f>AC11+Z11</f>
        <v>141.5</v>
      </c>
      <c r="AC11" s="3">
        <v>141.5</v>
      </c>
      <c r="AD11" s="3" t="s">
        <v>78</v>
      </c>
    </row>
    <row r="12" spans="1:30" s="3" customFormat="1" x14ac:dyDescent="0.25">
      <c r="A12" s="3">
        <v>476</v>
      </c>
      <c r="B12" s="3" t="s">
        <v>69</v>
      </c>
      <c r="C12" s="3" t="s">
        <v>70</v>
      </c>
      <c r="D12" s="3" t="s">
        <v>71</v>
      </c>
      <c r="E12" s="3">
        <v>60</v>
      </c>
      <c r="F12" s="3">
        <v>81</v>
      </c>
      <c r="G12" s="3">
        <v>4</v>
      </c>
      <c r="H12" s="3">
        <v>128</v>
      </c>
      <c r="I12" s="3">
        <v>163</v>
      </c>
      <c r="J12" s="3">
        <v>78.5</v>
      </c>
      <c r="K12" s="4">
        <v>0.51600000000000001</v>
      </c>
      <c r="L12" s="3">
        <v>66</v>
      </c>
      <c r="M12" s="3">
        <v>62</v>
      </c>
      <c r="N12" s="4">
        <v>0.33600000000000002</v>
      </c>
      <c r="P12" s="4">
        <v>0.38800000000000001</v>
      </c>
      <c r="Q12" s="3">
        <v>131</v>
      </c>
      <c r="S12" s="3">
        <v>150</v>
      </c>
      <c r="T12" s="3">
        <v>138.30000000000001</v>
      </c>
      <c r="U12" s="3" t="s">
        <v>56</v>
      </c>
      <c r="V12" s="3" t="s">
        <v>33</v>
      </c>
      <c r="W12" s="3">
        <v>100</v>
      </c>
      <c r="X12" s="3">
        <v>5</v>
      </c>
      <c r="Y12" s="3">
        <v>3</v>
      </c>
      <c r="Z12" s="3">
        <v>-5</v>
      </c>
      <c r="AA12" s="3">
        <v>0</v>
      </c>
      <c r="AB12" s="3">
        <f>AC12+Z12</f>
        <v>141.30000000000001</v>
      </c>
      <c r="AC12" s="3">
        <v>146.30000000000001</v>
      </c>
      <c r="AD12" s="3" t="s">
        <v>72</v>
      </c>
    </row>
    <row r="13" spans="1:30" x14ac:dyDescent="0.25">
      <c r="A13" s="3">
        <v>431</v>
      </c>
      <c r="B13" s="3" t="s">
        <v>79</v>
      </c>
      <c r="C13" s="3" t="s">
        <v>80</v>
      </c>
      <c r="D13" s="3" t="s">
        <v>37</v>
      </c>
      <c r="E13" s="3">
        <v>54</v>
      </c>
      <c r="F13" s="3">
        <v>95</v>
      </c>
      <c r="G13" s="3">
        <v>6</v>
      </c>
      <c r="H13" s="3">
        <v>248</v>
      </c>
      <c r="I13" s="3">
        <v>261</v>
      </c>
      <c r="J13" s="3">
        <v>95</v>
      </c>
      <c r="K13" s="4">
        <v>0.58099999999999996</v>
      </c>
      <c r="L13" s="3">
        <v>144</v>
      </c>
      <c r="M13" s="3">
        <v>104</v>
      </c>
      <c r="N13" s="4">
        <v>0.30599999999999999</v>
      </c>
      <c r="O13" s="4">
        <v>0.36299999999999999</v>
      </c>
      <c r="P13" s="4">
        <v>0.32800000000000001</v>
      </c>
      <c r="Q13" s="3">
        <v>120</v>
      </c>
      <c r="R13" s="3">
        <v>145</v>
      </c>
      <c r="S13" s="3">
        <v>127</v>
      </c>
      <c r="T13" s="3">
        <v>128.5</v>
      </c>
      <c r="U13" s="3" t="s">
        <v>32</v>
      </c>
      <c r="V13" s="3" t="s">
        <v>33</v>
      </c>
      <c r="W13" s="3">
        <v>100</v>
      </c>
      <c r="X13" s="3">
        <v>4</v>
      </c>
      <c r="Y13" s="3">
        <v>5</v>
      </c>
      <c r="Z13" s="3">
        <v>0</v>
      </c>
      <c r="AA13" s="3">
        <v>2</v>
      </c>
      <c r="AB13" s="3">
        <f>AC13+Z13</f>
        <v>139.5</v>
      </c>
      <c r="AC13" s="3">
        <v>139.5</v>
      </c>
      <c r="AD13" s="3"/>
    </row>
    <row r="14" spans="1:30" s="3" customFormat="1" x14ac:dyDescent="0.25">
      <c r="A14" s="3">
        <v>611</v>
      </c>
      <c r="B14" s="3" t="s">
        <v>83</v>
      </c>
      <c r="C14" s="3" t="s">
        <v>84</v>
      </c>
      <c r="D14" s="3" t="s">
        <v>77</v>
      </c>
      <c r="E14" s="3">
        <v>55</v>
      </c>
      <c r="F14" s="3">
        <v>66</v>
      </c>
      <c r="G14" s="3">
        <v>9</v>
      </c>
      <c r="H14" s="3">
        <v>17</v>
      </c>
      <c r="I14" s="3">
        <v>22</v>
      </c>
      <c r="J14" s="3">
        <v>77.3</v>
      </c>
      <c r="K14" s="4">
        <v>0.70599999999999996</v>
      </c>
      <c r="L14" s="3">
        <v>12</v>
      </c>
      <c r="M14" s="3">
        <v>5</v>
      </c>
      <c r="N14" s="4">
        <v>0.32500000000000001</v>
      </c>
      <c r="Q14" s="3">
        <v>127</v>
      </c>
      <c r="T14" s="3">
        <v>127.2</v>
      </c>
      <c r="U14" s="3" t="s">
        <v>85</v>
      </c>
      <c r="V14" s="3" t="s">
        <v>86</v>
      </c>
      <c r="W14" s="3">
        <v>69.099999999999994</v>
      </c>
      <c r="X14" s="3">
        <v>4</v>
      </c>
      <c r="Y14" s="3">
        <v>5</v>
      </c>
      <c r="Z14" s="3">
        <v>3</v>
      </c>
      <c r="AA14" s="3">
        <v>0</v>
      </c>
      <c r="AB14" s="3">
        <f>AC14+Z14</f>
        <v>139.19999999999999</v>
      </c>
      <c r="AC14" s="3">
        <v>136.19999999999999</v>
      </c>
    </row>
    <row r="15" spans="1:30" s="3" customFormat="1" x14ac:dyDescent="0.25">
      <c r="A15" s="3">
        <v>503</v>
      </c>
      <c r="B15" s="3" t="s">
        <v>66</v>
      </c>
      <c r="C15" s="3" t="s">
        <v>67</v>
      </c>
      <c r="D15" s="3" t="s">
        <v>37</v>
      </c>
      <c r="E15" s="3">
        <v>54</v>
      </c>
      <c r="F15" s="3">
        <v>48</v>
      </c>
      <c r="G15" s="3">
        <v>6</v>
      </c>
      <c r="H15" s="3">
        <v>106</v>
      </c>
      <c r="I15" s="3">
        <v>128</v>
      </c>
      <c r="J15" s="3">
        <v>82.8</v>
      </c>
      <c r="K15" s="4">
        <v>0.53800000000000003</v>
      </c>
      <c r="L15" s="3">
        <v>57</v>
      </c>
      <c r="M15" s="3">
        <v>49</v>
      </c>
      <c r="N15" s="4">
        <v>0.35</v>
      </c>
      <c r="P15" s="4">
        <v>0.36599999999999999</v>
      </c>
      <c r="Q15" s="3">
        <v>137</v>
      </c>
      <c r="S15" s="3">
        <v>141</v>
      </c>
      <c r="T15" s="3">
        <v>136.6</v>
      </c>
      <c r="U15" s="3" t="s">
        <v>56</v>
      </c>
      <c r="V15" s="3" t="s">
        <v>33</v>
      </c>
      <c r="W15" s="3">
        <v>100</v>
      </c>
      <c r="X15" s="3">
        <v>4</v>
      </c>
      <c r="Y15" s="3">
        <v>5</v>
      </c>
      <c r="Z15" s="3">
        <v>-8</v>
      </c>
      <c r="AA15" s="3">
        <v>1</v>
      </c>
      <c r="AB15" s="3">
        <f>AC15+Z15</f>
        <v>138.6</v>
      </c>
      <c r="AC15" s="3">
        <v>146.6</v>
      </c>
      <c r="AD15" s="3" t="s">
        <v>68</v>
      </c>
    </row>
    <row r="16" spans="1:30" s="3" customFormat="1" x14ac:dyDescent="0.25">
      <c r="A16" s="3">
        <v>569</v>
      </c>
      <c r="B16" s="3" t="s">
        <v>87</v>
      </c>
      <c r="C16" s="3" t="s">
        <v>88</v>
      </c>
      <c r="D16" s="3" t="s">
        <v>37</v>
      </c>
      <c r="E16" s="3">
        <v>54</v>
      </c>
      <c r="F16" s="3">
        <v>87</v>
      </c>
      <c r="G16" s="3">
        <v>7</v>
      </c>
      <c r="H16" s="3">
        <v>78</v>
      </c>
      <c r="I16" s="3">
        <v>87</v>
      </c>
      <c r="J16" s="3">
        <v>89.7</v>
      </c>
      <c r="K16" s="4">
        <v>0.53800000000000003</v>
      </c>
      <c r="L16" s="3">
        <v>42</v>
      </c>
      <c r="M16" s="3">
        <v>36</v>
      </c>
      <c r="N16" s="4">
        <v>0.30199999999999999</v>
      </c>
      <c r="O16" s="4">
        <v>0.34300000000000003</v>
      </c>
      <c r="P16" s="4">
        <v>0.33600000000000002</v>
      </c>
      <c r="Q16" s="3">
        <v>118</v>
      </c>
      <c r="R16" s="3">
        <v>137</v>
      </c>
      <c r="S16" s="3">
        <v>130</v>
      </c>
      <c r="T16" s="3">
        <v>126.1</v>
      </c>
      <c r="U16" s="3" t="s">
        <v>32</v>
      </c>
      <c r="V16" s="3" t="s">
        <v>33</v>
      </c>
      <c r="W16" s="3">
        <v>100</v>
      </c>
      <c r="X16" s="3">
        <v>4</v>
      </c>
      <c r="Y16" s="3">
        <v>5</v>
      </c>
      <c r="Z16" s="3">
        <v>2</v>
      </c>
      <c r="AA16" s="3">
        <v>1</v>
      </c>
      <c r="AB16" s="3">
        <f>AC16+Z16</f>
        <v>138.1</v>
      </c>
      <c r="AC16" s="3">
        <v>136.1</v>
      </c>
      <c r="AD16" s="3" t="s">
        <v>89</v>
      </c>
    </row>
    <row r="17" spans="1:30" s="3" customFormat="1" x14ac:dyDescent="0.25">
      <c r="A17" s="3">
        <v>468</v>
      </c>
      <c r="B17" s="3" t="s">
        <v>73</v>
      </c>
      <c r="C17" s="3" t="s">
        <v>74</v>
      </c>
      <c r="D17" s="3" t="s">
        <v>71</v>
      </c>
      <c r="E17" s="3">
        <v>64</v>
      </c>
      <c r="F17" s="3">
        <v>0</v>
      </c>
      <c r="G17" s="3">
        <v>0</v>
      </c>
      <c r="H17" s="3">
        <v>72</v>
      </c>
      <c r="I17" s="3">
        <v>89</v>
      </c>
      <c r="J17" s="3">
        <v>80.900000000000006</v>
      </c>
      <c r="K17" s="4">
        <v>0.58299999999999996</v>
      </c>
      <c r="L17" s="3">
        <v>42</v>
      </c>
      <c r="M17" s="3">
        <v>30</v>
      </c>
      <c r="N17" s="4">
        <v>0</v>
      </c>
      <c r="P17" s="4">
        <v>0.34799999999999998</v>
      </c>
      <c r="Q17" s="3">
        <v>0</v>
      </c>
      <c r="S17" s="3">
        <v>134</v>
      </c>
      <c r="T17" s="3">
        <v>132.69999999999999</v>
      </c>
      <c r="U17" s="3" t="s">
        <v>43</v>
      </c>
      <c r="V17" s="3" t="s">
        <v>33</v>
      </c>
      <c r="W17" s="3">
        <v>100</v>
      </c>
      <c r="X17" s="3">
        <v>5</v>
      </c>
      <c r="Y17" s="3">
        <v>3</v>
      </c>
      <c r="Z17" s="3">
        <v>-6</v>
      </c>
      <c r="AA17" s="3">
        <v>1</v>
      </c>
      <c r="AB17" s="3">
        <f>AC17+Z17</f>
        <v>135.69999999999999</v>
      </c>
      <c r="AC17" s="3">
        <v>141.69999999999999</v>
      </c>
      <c r="AD17" s="3" t="s">
        <v>75</v>
      </c>
    </row>
    <row r="18" spans="1:30" x14ac:dyDescent="0.25">
      <c r="A18">
        <v>605</v>
      </c>
      <c r="B18" t="s">
        <v>90</v>
      </c>
      <c r="C18" t="s">
        <v>91</v>
      </c>
      <c r="D18" t="s">
        <v>92</v>
      </c>
      <c r="E18">
        <v>63</v>
      </c>
      <c r="F18">
        <v>0</v>
      </c>
      <c r="G18">
        <v>0</v>
      </c>
      <c r="H18">
        <v>9</v>
      </c>
      <c r="I18">
        <v>20</v>
      </c>
      <c r="J18">
        <v>45</v>
      </c>
      <c r="K18" s="2">
        <v>0.33300000000000002</v>
      </c>
      <c r="L18">
        <v>3</v>
      </c>
      <c r="M18">
        <v>6</v>
      </c>
      <c r="N18" s="2">
        <v>0</v>
      </c>
      <c r="O18" s="2">
        <v>0.33500000000000002</v>
      </c>
      <c r="Q18">
        <v>0</v>
      </c>
      <c r="R18">
        <v>133</v>
      </c>
      <c r="T18">
        <v>133.4</v>
      </c>
      <c r="U18" t="s">
        <v>93</v>
      </c>
      <c r="V18" t="s">
        <v>94</v>
      </c>
      <c r="W18">
        <v>53.6</v>
      </c>
      <c r="X18">
        <v>1.5</v>
      </c>
      <c r="Y18">
        <v>3</v>
      </c>
      <c r="Z18">
        <v>0</v>
      </c>
      <c r="AA18">
        <v>-4</v>
      </c>
      <c r="AB18" s="8">
        <f>AC18+Z18</f>
        <v>133.9</v>
      </c>
      <c r="AC18">
        <v>133.9</v>
      </c>
      <c r="AD18" t="s">
        <v>95</v>
      </c>
    </row>
    <row r="19" spans="1:30" x14ac:dyDescent="0.25">
      <c r="A19">
        <v>485</v>
      </c>
      <c r="B19" t="s">
        <v>96</v>
      </c>
      <c r="C19" t="s">
        <v>97</v>
      </c>
      <c r="D19" t="s">
        <v>77</v>
      </c>
      <c r="E19">
        <v>55</v>
      </c>
      <c r="F19">
        <v>95</v>
      </c>
      <c r="G19">
        <v>6</v>
      </c>
      <c r="H19">
        <v>156</v>
      </c>
      <c r="I19">
        <v>182</v>
      </c>
      <c r="J19">
        <v>85.7</v>
      </c>
      <c r="K19" s="2">
        <v>0.45500000000000002</v>
      </c>
      <c r="L19">
        <v>71</v>
      </c>
      <c r="M19">
        <v>85</v>
      </c>
      <c r="N19" s="2">
        <v>0.32400000000000001</v>
      </c>
      <c r="P19" s="2">
        <v>0.318</v>
      </c>
      <c r="Q19">
        <v>127</v>
      </c>
      <c r="S19">
        <v>123</v>
      </c>
      <c r="T19">
        <v>123</v>
      </c>
      <c r="U19" t="s">
        <v>56</v>
      </c>
      <c r="V19" t="s">
        <v>33</v>
      </c>
      <c r="W19">
        <v>100</v>
      </c>
      <c r="X19">
        <v>4</v>
      </c>
      <c r="Y19">
        <v>5</v>
      </c>
      <c r="Z19">
        <v>0</v>
      </c>
      <c r="AA19">
        <v>1</v>
      </c>
      <c r="AB19" s="8">
        <f>AC19+Z19</f>
        <v>133</v>
      </c>
      <c r="AC19">
        <v>133</v>
      </c>
    </row>
    <row r="20" spans="1:30" x14ac:dyDescent="0.25">
      <c r="A20">
        <v>566</v>
      </c>
      <c r="B20" t="s">
        <v>81</v>
      </c>
      <c r="C20" t="s">
        <v>82</v>
      </c>
      <c r="D20" t="s">
        <v>47</v>
      </c>
      <c r="E20">
        <v>52</v>
      </c>
      <c r="F20">
        <v>89</v>
      </c>
      <c r="G20">
        <v>15</v>
      </c>
      <c r="H20">
        <v>85</v>
      </c>
      <c r="I20">
        <v>87</v>
      </c>
      <c r="J20">
        <v>97.7</v>
      </c>
      <c r="K20" s="2">
        <v>0.45900000000000002</v>
      </c>
      <c r="L20">
        <v>39</v>
      </c>
      <c r="M20">
        <v>46</v>
      </c>
      <c r="N20" s="2">
        <v>0.33400000000000002</v>
      </c>
      <c r="O20" s="2">
        <v>0.35399999999999998</v>
      </c>
      <c r="P20" s="2">
        <v>0.26500000000000001</v>
      </c>
      <c r="Q20">
        <v>131</v>
      </c>
      <c r="R20">
        <v>141</v>
      </c>
      <c r="S20">
        <v>102</v>
      </c>
      <c r="T20">
        <v>128.19999999999999</v>
      </c>
      <c r="U20" t="s">
        <v>32</v>
      </c>
      <c r="V20" t="s">
        <v>33</v>
      </c>
      <c r="W20">
        <v>97.5</v>
      </c>
      <c r="X20">
        <v>2.5</v>
      </c>
      <c r="Y20">
        <v>5</v>
      </c>
      <c r="Z20">
        <v>-5</v>
      </c>
      <c r="AA20">
        <v>2</v>
      </c>
      <c r="AB20" s="8">
        <f>AC20+Z20</f>
        <v>132.69999999999999</v>
      </c>
      <c r="AC20">
        <v>137.69999999999999</v>
      </c>
    </row>
    <row r="21" spans="1:30" x14ac:dyDescent="0.25">
      <c r="A21">
        <v>577</v>
      </c>
      <c r="B21" t="s">
        <v>100</v>
      </c>
      <c r="C21" t="s">
        <v>101</v>
      </c>
      <c r="D21" t="s">
        <v>71</v>
      </c>
      <c r="E21">
        <v>65</v>
      </c>
      <c r="F21">
        <v>0</v>
      </c>
      <c r="G21">
        <v>0</v>
      </c>
      <c r="H21">
        <v>18</v>
      </c>
      <c r="I21">
        <v>22</v>
      </c>
      <c r="J21">
        <v>81.8</v>
      </c>
      <c r="K21" s="2">
        <v>0.72199999999999998</v>
      </c>
      <c r="L21">
        <v>13</v>
      </c>
      <c r="M21">
        <v>5</v>
      </c>
      <c r="N21" s="2">
        <v>0</v>
      </c>
      <c r="P21" s="2">
        <v>0.32100000000000001</v>
      </c>
      <c r="Q21">
        <v>0</v>
      </c>
      <c r="S21">
        <v>124</v>
      </c>
      <c r="T21">
        <v>124.2</v>
      </c>
      <c r="U21" t="s">
        <v>102</v>
      </c>
      <c r="V21" t="s">
        <v>86</v>
      </c>
      <c r="W21">
        <v>69.099999999999994</v>
      </c>
      <c r="X21">
        <v>5</v>
      </c>
      <c r="Y21">
        <v>1</v>
      </c>
      <c r="Z21">
        <v>0</v>
      </c>
      <c r="AA21">
        <v>1</v>
      </c>
      <c r="AB21" s="8">
        <f>AC21+Z21</f>
        <v>131.19999999999999</v>
      </c>
      <c r="AC21">
        <v>131.19999999999999</v>
      </c>
      <c r="AD21" t="s">
        <v>103</v>
      </c>
    </row>
    <row r="22" spans="1:30" s="3" customFormat="1" x14ac:dyDescent="0.25">
      <c r="A22" s="3">
        <v>296</v>
      </c>
      <c r="B22" s="3" t="s">
        <v>104</v>
      </c>
      <c r="C22" s="3" t="s">
        <v>105</v>
      </c>
      <c r="D22" s="3" t="s">
        <v>31</v>
      </c>
      <c r="E22" s="3">
        <v>65</v>
      </c>
      <c r="F22" s="3">
        <v>0</v>
      </c>
      <c r="G22" s="3">
        <v>0</v>
      </c>
      <c r="H22" s="3">
        <v>269</v>
      </c>
      <c r="I22" s="3">
        <v>330</v>
      </c>
      <c r="J22" s="3">
        <v>81.5</v>
      </c>
      <c r="K22" s="4">
        <v>0.55000000000000004</v>
      </c>
      <c r="L22" s="3">
        <v>148</v>
      </c>
      <c r="M22" s="3">
        <v>121</v>
      </c>
      <c r="N22" s="4">
        <v>0</v>
      </c>
      <c r="P22" s="4">
        <v>0.317</v>
      </c>
      <c r="Q22" s="3">
        <v>0</v>
      </c>
      <c r="S22" s="3">
        <v>122</v>
      </c>
      <c r="T22" s="3">
        <v>124.8</v>
      </c>
      <c r="U22" s="3" t="s">
        <v>106</v>
      </c>
      <c r="V22" s="3" t="s">
        <v>33</v>
      </c>
      <c r="W22" s="3">
        <v>100</v>
      </c>
      <c r="X22" s="3">
        <v>3.5</v>
      </c>
      <c r="Y22" s="3">
        <v>1</v>
      </c>
      <c r="Z22" s="3">
        <v>0</v>
      </c>
      <c r="AA22" s="3">
        <v>1</v>
      </c>
      <c r="AB22" s="3">
        <f>AC22+Z22</f>
        <v>130.30000000000001</v>
      </c>
      <c r="AC22" s="3">
        <v>130.30000000000001</v>
      </c>
      <c r="AD22" s="3" t="s">
        <v>107</v>
      </c>
    </row>
    <row r="23" spans="1:30" x14ac:dyDescent="0.25">
      <c r="A23" s="5">
        <v>458</v>
      </c>
      <c r="B23" s="5" t="s">
        <v>100</v>
      </c>
      <c r="C23" s="5" t="s">
        <v>108</v>
      </c>
      <c r="D23" s="5" t="s">
        <v>47</v>
      </c>
      <c r="E23" s="5">
        <v>56</v>
      </c>
      <c r="F23" s="5">
        <v>84</v>
      </c>
      <c r="G23" s="5">
        <v>4</v>
      </c>
      <c r="H23" s="5">
        <v>229</v>
      </c>
      <c r="I23" s="5">
        <v>247</v>
      </c>
      <c r="J23" s="5">
        <v>92.7</v>
      </c>
      <c r="K23" s="6">
        <v>0.51500000000000001</v>
      </c>
      <c r="L23" s="5">
        <v>118</v>
      </c>
      <c r="M23" s="5">
        <v>111</v>
      </c>
      <c r="N23" s="6">
        <v>0.32400000000000001</v>
      </c>
      <c r="O23" s="6">
        <v>0.27900000000000003</v>
      </c>
      <c r="P23" s="6">
        <v>0.29199999999999998</v>
      </c>
      <c r="Q23" s="5">
        <v>127</v>
      </c>
      <c r="R23" s="5">
        <v>111</v>
      </c>
      <c r="S23" s="5">
        <v>113</v>
      </c>
      <c r="T23" s="5">
        <v>119.3</v>
      </c>
      <c r="U23" s="5" t="s">
        <v>32</v>
      </c>
      <c r="V23" s="5" t="s">
        <v>33</v>
      </c>
      <c r="W23" s="5">
        <v>100</v>
      </c>
      <c r="X23" s="5">
        <v>2.5</v>
      </c>
      <c r="Y23" s="5">
        <v>5</v>
      </c>
      <c r="Z23" s="5">
        <v>0</v>
      </c>
      <c r="AA23" s="5">
        <v>2</v>
      </c>
      <c r="AB23" s="5">
        <f>AC23+Z23</f>
        <v>128.80000000000001</v>
      </c>
      <c r="AC23" s="5">
        <v>128.80000000000001</v>
      </c>
      <c r="AD23" s="5"/>
    </row>
    <row r="24" spans="1:30" s="5" customFormat="1" x14ac:dyDescent="0.25">
      <c r="A24">
        <v>546</v>
      </c>
      <c r="B24" t="s">
        <v>109</v>
      </c>
      <c r="C24" t="s">
        <v>110</v>
      </c>
      <c r="D24" t="s">
        <v>31</v>
      </c>
      <c r="E24">
        <v>58</v>
      </c>
      <c r="F24">
        <v>73</v>
      </c>
      <c r="G24">
        <v>8</v>
      </c>
      <c r="H24">
        <v>33</v>
      </c>
      <c r="I24">
        <v>66</v>
      </c>
      <c r="J24">
        <v>50</v>
      </c>
      <c r="K24" s="2">
        <v>0.39400000000000002</v>
      </c>
      <c r="L24">
        <v>13</v>
      </c>
      <c r="M24">
        <v>20</v>
      </c>
      <c r="N24" s="2">
        <v>0.33200000000000002</v>
      </c>
      <c r="O24"/>
      <c r="P24" s="2">
        <v>0.28399999999999997</v>
      </c>
      <c r="Q24">
        <v>130</v>
      </c>
      <c r="R24"/>
      <c r="S24">
        <v>110</v>
      </c>
      <c r="T24">
        <v>124</v>
      </c>
      <c r="U24" t="s">
        <v>111</v>
      </c>
      <c r="V24" t="s">
        <v>33</v>
      </c>
      <c r="W24">
        <v>92.5</v>
      </c>
      <c r="X24">
        <v>3.5</v>
      </c>
      <c r="Y24">
        <v>5</v>
      </c>
      <c r="Z24">
        <v>0</v>
      </c>
      <c r="AA24">
        <v>-4</v>
      </c>
      <c r="AB24" s="8">
        <f>AC24+Z24</f>
        <v>128.5</v>
      </c>
      <c r="AC24">
        <v>128.5</v>
      </c>
      <c r="AD24"/>
    </row>
    <row r="25" spans="1:30" x14ac:dyDescent="0.25">
      <c r="A25">
        <v>324</v>
      </c>
      <c r="B25" t="s">
        <v>98</v>
      </c>
      <c r="C25" t="s">
        <v>99</v>
      </c>
      <c r="D25" t="s">
        <v>37</v>
      </c>
      <c r="E25">
        <v>66</v>
      </c>
      <c r="F25">
        <v>76</v>
      </c>
      <c r="G25">
        <v>10</v>
      </c>
      <c r="H25">
        <v>259</v>
      </c>
      <c r="I25">
        <v>352</v>
      </c>
      <c r="J25">
        <v>73.599999999999994</v>
      </c>
      <c r="K25" s="2">
        <v>0.53700000000000003</v>
      </c>
      <c r="L25">
        <v>139</v>
      </c>
      <c r="M25">
        <v>120</v>
      </c>
      <c r="N25" s="2">
        <v>0.32</v>
      </c>
      <c r="P25" s="2">
        <v>0.35799999999999998</v>
      </c>
      <c r="Q25">
        <v>125</v>
      </c>
      <c r="S25">
        <v>138</v>
      </c>
      <c r="T25">
        <v>126.3</v>
      </c>
      <c r="U25" t="s">
        <v>56</v>
      </c>
      <c r="V25" t="s">
        <v>33</v>
      </c>
      <c r="W25">
        <v>100</v>
      </c>
      <c r="X25">
        <v>4</v>
      </c>
      <c r="Y25">
        <v>1</v>
      </c>
      <c r="Z25">
        <v>-3</v>
      </c>
      <c r="AA25">
        <v>0</v>
      </c>
      <c r="AB25" s="8">
        <f>AC25+Z25</f>
        <v>128.30000000000001</v>
      </c>
      <c r="AC25">
        <v>131.30000000000001</v>
      </c>
    </row>
    <row r="26" spans="1:30" x14ac:dyDescent="0.25">
      <c r="A26">
        <v>523</v>
      </c>
      <c r="B26" t="s">
        <v>112</v>
      </c>
      <c r="C26" t="s">
        <v>113</v>
      </c>
      <c r="D26" t="s">
        <v>71</v>
      </c>
      <c r="E26">
        <v>61</v>
      </c>
      <c r="F26">
        <v>70</v>
      </c>
      <c r="G26">
        <v>5</v>
      </c>
      <c r="H26">
        <v>111</v>
      </c>
      <c r="I26">
        <v>128</v>
      </c>
      <c r="J26">
        <v>86.7</v>
      </c>
      <c r="K26" s="2">
        <v>0.35099999999999998</v>
      </c>
      <c r="L26">
        <v>39</v>
      </c>
      <c r="M26">
        <v>72</v>
      </c>
      <c r="N26" s="2">
        <v>0.314</v>
      </c>
      <c r="O26" s="2">
        <v>0.27400000000000002</v>
      </c>
      <c r="P26" s="2">
        <v>0.318</v>
      </c>
      <c r="Q26">
        <v>123</v>
      </c>
      <c r="R26">
        <v>109</v>
      </c>
      <c r="S26">
        <v>123</v>
      </c>
      <c r="T26">
        <v>118.7</v>
      </c>
      <c r="U26" t="s">
        <v>32</v>
      </c>
      <c r="V26" t="s">
        <v>33</v>
      </c>
      <c r="W26">
        <v>100</v>
      </c>
      <c r="X26">
        <v>5</v>
      </c>
      <c r="Y26">
        <v>3</v>
      </c>
      <c r="Z26">
        <v>0</v>
      </c>
      <c r="AA26">
        <v>1</v>
      </c>
      <c r="AB26" s="8">
        <f>AC26+Z26</f>
        <v>127.7</v>
      </c>
      <c r="AC26">
        <v>127.7</v>
      </c>
    </row>
    <row r="27" spans="1:30" s="3" customFormat="1" x14ac:dyDescent="0.25">
      <c r="B27" s="3" t="s">
        <v>215</v>
      </c>
      <c r="C27" s="3" t="s">
        <v>401</v>
      </c>
      <c r="D27" s="3" t="s">
        <v>37</v>
      </c>
      <c r="F27" s="3" t="s">
        <v>396</v>
      </c>
      <c r="G27" s="3" t="s">
        <v>396</v>
      </c>
      <c r="H27" s="3">
        <v>0</v>
      </c>
      <c r="I27" s="3">
        <v>0</v>
      </c>
      <c r="L27" s="3">
        <v>0</v>
      </c>
      <c r="M27" s="3">
        <v>0</v>
      </c>
      <c r="N27" s="3" t="s">
        <v>396</v>
      </c>
      <c r="V27" s="3" t="s">
        <v>94</v>
      </c>
      <c r="W27" s="3">
        <v>0</v>
      </c>
      <c r="X27" s="3">
        <v>4</v>
      </c>
      <c r="Y27" s="3">
        <v>0</v>
      </c>
      <c r="Z27" s="3">
        <v>126</v>
      </c>
      <c r="AA27" s="3">
        <v>0</v>
      </c>
      <c r="AB27" s="3">
        <f>AC27+Z27</f>
        <v>126</v>
      </c>
      <c r="AD27" s="3" t="s">
        <v>199</v>
      </c>
    </row>
    <row r="28" spans="1:30" s="3" customFormat="1" x14ac:dyDescent="0.25">
      <c r="A28" s="3">
        <v>504</v>
      </c>
      <c r="B28" s="3" t="s">
        <v>114</v>
      </c>
      <c r="C28" s="3" t="s">
        <v>115</v>
      </c>
      <c r="D28" s="3" t="s">
        <v>92</v>
      </c>
      <c r="E28" s="3">
        <v>65</v>
      </c>
      <c r="F28" s="3">
        <v>64</v>
      </c>
      <c r="G28" s="3">
        <v>8</v>
      </c>
      <c r="H28" s="3">
        <v>162</v>
      </c>
      <c r="I28" s="3">
        <v>184</v>
      </c>
      <c r="J28" s="3">
        <v>88</v>
      </c>
      <c r="K28" s="4">
        <v>0.47799999999999998</v>
      </c>
      <c r="L28" s="3">
        <v>77</v>
      </c>
      <c r="M28" s="3">
        <v>84</v>
      </c>
      <c r="N28" s="4">
        <v>0.316</v>
      </c>
      <c r="O28" s="4">
        <v>0.313</v>
      </c>
      <c r="P28" s="4">
        <v>0.29699999999999999</v>
      </c>
      <c r="Q28" s="3">
        <v>124</v>
      </c>
      <c r="R28" s="3">
        <v>125</v>
      </c>
      <c r="S28" s="3">
        <v>115</v>
      </c>
      <c r="T28" s="3">
        <v>122.2</v>
      </c>
      <c r="U28" s="3" t="s">
        <v>32</v>
      </c>
      <c r="V28" s="3" t="s">
        <v>33</v>
      </c>
      <c r="W28" s="3">
        <v>100</v>
      </c>
      <c r="X28" s="3">
        <v>1.5</v>
      </c>
      <c r="Y28" s="3">
        <v>1</v>
      </c>
      <c r="Z28" s="3">
        <v>0</v>
      </c>
      <c r="AA28" s="3">
        <v>1</v>
      </c>
      <c r="AB28" s="3">
        <f>AC28+Z28</f>
        <v>125.7</v>
      </c>
      <c r="AC28" s="3">
        <v>125.7</v>
      </c>
      <c r="AD28" s="3" t="s">
        <v>116</v>
      </c>
    </row>
    <row r="29" spans="1:30" x14ac:dyDescent="0.25">
      <c r="A29">
        <v>574</v>
      </c>
      <c r="B29" t="s">
        <v>117</v>
      </c>
      <c r="C29" t="s">
        <v>118</v>
      </c>
      <c r="D29" t="s">
        <v>37</v>
      </c>
      <c r="E29">
        <v>56</v>
      </c>
      <c r="F29">
        <v>73</v>
      </c>
      <c r="G29">
        <v>9</v>
      </c>
      <c r="H29">
        <v>62</v>
      </c>
      <c r="I29">
        <v>86</v>
      </c>
      <c r="J29">
        <v>72.099999999999994</v>
      </c>
      <c r="K29" s="2">
        <v>0.46800000000000003</v>
      </c>
      <c r="L29">
        <v>29</v>
      </c>
      <c r="M29">
        <v>33</v>
      </c>
      <c r="N29" s="2">
        <v>0.34200000000000003</v>
      </c>
      <c r="O29" s="2">
        <v>0.26600000000000001</v>
      </c>
      <c r="P29" s="2">
        <v>0.21299999999999999</v>
      </c>
      <c r="Q29">
        <v>134</v>
      </c>
      <c r="R29">
        <v>106</v>
      </c>
      <c r="S29">
        <v>82</v>
      </c>
      <c r="T29">
        <v>115.3</v>
      </c>
      <c r="U29" t="s">
        <v>32</v>
      </c>
      <c r="V29" t="s">
        <v>33</v>
      </c>
      <c r="W29">
        <v>97.5</v>
      </c>
      <c r="X29">
        <v>4</v>
      </c>
      <c r="Y29">
        <v>5</v>
      </c>
      <c r="Z29">
        <v>0</v>
      </c>
      <c r="AA29">
        <v>0</v>
      </c>
      <c r="AB29" s="8">
        <f>AC29+Z29</f>
        <v>124.3</v>
      </c>
      <c r="AC29">
        <v>124.3</v>
      </c>
      <c r="AD29" t="s">
        <v>119</v>
      </c>
    </row>
    <row r="30" spans="1:30" x14ac:dyDescent="0.25">
      <c r="A30">
        <v>412</v>
      </c>
      <c r="B30" t="s">
        <v>120</v>
      </c>
      <c r="C30" t="s">
        <v>121</v>
      </c>
      <c r="D30" t="s">
        <v>77</v>
      </c>
      <c r="E30">
        <v>64</v>
      </c>
      <c r="F30">
        <v>77</v>
      </c>
      <c r="G30">
        <v>6</v>
      </c>
      <c r="H30">
        <v>159</v>
      </c>
      <c r="I30">
        <v>174</v>
      </c>
      <c r="J30">
        <v>91.4</v>
      </c>
      <c r="K30" s="2">
        <v>0.50900000000000001</v>
      </c>
      <c r="L30">
        <v>81</v>
      </c>
      <c r="M30">
        <v>78</v>
      </c>
      <c r="N30" s="2">
        <v>0.27400000000000002</v>
      </c>
      <c r="P30" s="2">
        <v>0.34</v>
      </c>
      <c r="Q30">
        <v>107</v>
      </c>
      <c r="S30">
        <v>131</v>
      </c>
      <c r="T30">
        <v>113.9</v>
      </c>
      <c r="U30" t="s">
        <v>56</v>
      </c>
      <c r="V30" t="s">
        <v>33</v>
      </c>
      <c r="W30">
        <v>100</v>
      </c>
      <c r="X30">
        <v>4</v>
      </c>
      <c r="Y30">
        <v>3</v>
      </c>
      <c r="Z30">
        <v>0</v>
      </c>
      <c r="AA30">
        <v>2</v>
      </c>
      <c r="AB30" s="8">
        <f>AC30+Z30</f>
        <v>122.9</v>
      </c>
      <c r="AC30">
        <v>122.9</v>
      </c>
      <c r="AD30" t="s">
        <v>122</v>
      </c>
    </row>
    <row r="31" spans="1:30" x14ac:dyDescent="0.25">
      <c r="A31">
        <v>585</v>
      </c>
      <c r="B31" t="s">
        <v>123</v>
      </c>
      <c r="C31" t="s">
        <v>124</v>
      </c>
      <c r="D31" t="s">
        <v>31</v>
      </c>
      <c r="E31">
        <v>66</v>
      </c>
      <c r="F31">
        <v>91</v>
      </c>
      <c r="G31">
        <v>7</v>
      </c>
      <c r="H31">
        <v>39</v>
      </c>
      <c r="I31">
        <v>44</v>
      </c>
      <c r="J31">
        <v>88.6</v>
      </c>
      <c r="K31" s="2">
        <v>0.35899999999999999</v>
      </c>
      <c r="L31">
        <v>14</v>
      </c>
      <c r="M31">
        <v>25</v>
      </c>
      <c r="N31" s="2">
        <v>0.30499999999999999</v>
      </c>
      <c r="P31" s="2">
        <v>0.29399999999999998</v>
      </c>
      <c r="Q31">
        <v>119</v>
      </c>
      <c r="S31">
        <v>114</v>
      </c>
      <c r="T31">
        <v>117.2</v>
      </c>
      <c r="U31" t="s">
        <v>48</v>
      </c>
      <c r="V31" t="s">
        <v>33</v>
      </c>
      <c r="W31">
        <v>93.4</v>
      </c>
      <c r="X31">
        <v>3.5</v>
      </c>
      <c r="Y31">
        <v>1</v>
      </c>
      <c r="Z31">
        <v>0</v>
      </c>
      <c r="AA31">
        <v>1</v>
      </c>
      <c r="AB31" s="8">
        <f>AC31+Z31</f>
        <v>122.7</v>
      </c>
      <c r="AC31">
        <v>122.7</v>
      </c>
      <c r="AD31" t="s">
        <v>125</v>
      </c>
    </row>
    <row r="32" spans="1:30" s="3" customFormat="1" x14ac:dyDescent="0.25">
      <c r="B32" s="3" t="s">
        <v>351</v>
      </c>
      <c r="C32" s="3" t="s">
        <v>406</v>
      </c>
      <c r="D32" s="3" t="s">
        <v>37</v>
      </c>
      <c r="F32" s="3" t="s">
        <v>396</v>
      </c>
      <c r="G32" s="3" t="s">
        <v>396</v>
      </c>
      <c r="H32" s="3">
        <v>0</v>
      </c>
      <c r="I32" s="3">
        <v>0</v>
      </c>
      <c r="L32" s="3">
        <v>0</v>
      </c>
      <c r="M32" s="3">
        <v>0</v>
      </c>
      <c r="N32" s="3" t="s">
        <v>396</v>
      </c>
      <c r="V32" s="3" t="s">
        <v>94</v>
      </c>
      <c r="W32" s="3">
        <v>0</v>
      </c>
      <c r="X32" s="3">
        <v>4</v>
      </c>
      <c r="Y32" s="3">
        <v>0</v>
      </c>
      <c r="Z32" s="3">
        <v>122</v>
      </c>
      <c r="AA32" s="3">
        <v>0</v>
      </c>
      <c r="AB32" s="3">
        <f>AC32+Z32</f>
        <v>122</v>
      </c>
      <c r="AD32" s="3" t="s">
        <v>407</v>
      </c>
    </row>
    <row r="33" spans="1:30" x14ac:dyDescent="0.25">
      <c r="A33">
        <v>334</v>
      </c>
      <c r="B33" t="s">
        <v>123</v>
      </c>
      <c r="C33" t="s">
        <v>135</v>
      </c>
      <c r="D33" t="s">
        <v>136</v>
      </c>
      <c r="E33">
        <v>63</v>
      </c>
      <c r="F33">
        <v>88</v>
      </c>
      <c r="G33">
        <v>7</v>
      </c>
      <c r="H33">
        <v>358</v>
      </c>
      <c r="I33">
        <v>392</v>
      </c>
      <c r="J33">
        <v>91.3</v>
      </c>
      <c r="K33" s="2">
        <v>0.45300000000000001</v>
      </c>
      <c r="L33">
        <v>188</v>
      </c>
      <c r="M33">
        <v>227</v>
      </c>
      <c r="N33" s="2">
        <v>0.315</v>
      </c>
      <c r="O33" s="2">
        <v>0.249</v>
      </c>
      <c r="P33" s="2">
        <v>0.26600000000000001</v>
      </c>
      <c r="Q33">
        <v>123</v>
      </c>
      <c r="R33">
        <v>99</v>
      </c>
      <c r="S33">
        <v>103</v>
      </c>
      <c r="T33">
        <v>111.9</v>
      </c>
      <c r="U33" t="s">
        <v>32</v>
      </c>
      <c r="V33" t="s">
        <v>33</v>
      </c>
      <c r="W33">
        <v>100</v>
      </c>
      <c r="X33">
        <v>2</v>
      </c>
      <c r="Y33">
        <v>3</v>
      </c>
      <c r="Z33">
        <v>2</v>
      </c>
      <c r="AA33">
        <v>2</v>
      </c>
      <c r="AB33" s="8">
        <f>AC33+Z33</f>
        <v>120.9</v>
      </c>
      <c r="AC33">
        <v>118.9</v>
      </c>
    </row>
    <row r="34" spans="1:30" s="3" customFormat="1" x14ac:dyDescent="0.25">
      <c r="A34" s="3">
        <v>378</v>
      </c>
      <c r="B34" s="3" t="s">
        <v>126</v>
      </c>
      <c r="C34" s="3" t="s">
        <v>127</v>
      </c>
      <c r="D34" s="3" t="s">
        <v>37</v>
      </c>
      <c r="E34" s="3">
        <v>64</v>
      </c>
      <c r="F34" s="3">
        <v>86</v>
      </c>
      <c r="G34" s="3">
        <v>2</v>
      </c>
      <c r="H34" s="3">
        <v>206</v>
      </c>
      <c r="I34" s="3">
        <v>268</v>
      </c>
      <c r="J34" s="3">
        <v>76.900000000000006</v>
      </c>
      <c r="K34" s="4">
        <v>0.51</v>
      </c>
      <c r="L34" s="3">
        <v>105</v>
      </c>
      <c r="M34" s="3">
        <v>101</v>
      </c>
      <c r="N34" s="4">
        <v>0.27100000000000002</v>
      </c>
      <c r="P34" s="4">
        <v>0.28399999999999997</v>
      </c>
      <c r="Q34" s="3">
        <v>106</v>
      </c>
      <c r="S34" s="3">
        <v>110</v>
      </c>
      <c r="T34" s="3">
        <v>113.8</v>
      </c>
      <c r="U34" s="3" t="s">
        <v>56</v>
      </c>
      <c r="V34" s="3" t="s">
        <v>33</v>
      </c>
      <c r="W34" s="3">
        <v>97.5</v>
      </c>
      <c r="X34" s="3">
        <v>4</v>
      </c>
      <c r="Y34" s="3">
        <v>3</v>
      </c>
      <c r="Z34" s="3">
        <v>0</v>
      </c>
      <c r="AA34" s="3">
        <v>0</v>
      </c>
      <c r="AB34" s="3">
        <f>AC34+Z34</f>
        <v>120.8</v>
      </c>
      <c r="AC34" s="3">
        <v>120.8</v>
      </c>
      <c r="AD34" s="3" t="s">
        <v>128</v>
      </c>
    </row>
    <row r="35" spans="1:30" x14ac:dyDescent="0.25">
      <c r="B35" t="s">
        <v>120</v>
      </c>
      <c r="C35" t="s">
        <v>408</v>
      </c>
      <c r="D35" t="s">
        <v>71</v>
      </c>
      <c r="F35" t="s">
        <v>396</v>
      </c>
      <c r="G35" t="s">
        <v>396</v>
      </c>
      <c r="H35">
        <v>0</v>
      </c>
      <c r="I35">
        <v>0</v>
      </c>
      <c r="L35">
        <v>0</v>
      </c>
      <c r="M35">
        <v>0</v>
      </c>
      <c r="N35" t="s">
        <v>396</v>
      </c>
      <c r="V35" t="s">
        <v>94</v>
      </c>
      <c r="W35">
        <v>0</v>
      </c>
      <c r="X35">
        <v>5</v>
      </c>
      <c r="Y35">
        <v>0</v>
      </c>
      <c r="Z35">
        <v>120</v>
      </c>
      <c r="AA35">
        <v>0</v>
      </c>
      <c r="AB35" s="8">
        <f>AC35+Z35</f>
        <v>120</v>
      </c>
      <c r="AD35" t="s">
        <v>409</v>
      </c>
    </row>
    <row r="36" spans="1:30" s="5" customFormat="1" x14ac:dyDescent="0.25">
      <c r="A36">
        <v>462</v>
      </c>
      <c r="B36" t="s">
        <v>129</v>
      </c>
      <c r="C36" t="s">
        <v>130</v>
      </c>
      <c r="D36" t="s">
        <v>71</v>
      </c>
      <c r="E36">
        <v>61</v>
      </c>
      <c r="F36">
        <v>57</v>
      </c>
      <c r="G36">
        <v>1</v>
      </c>
      <c r="H36">
        <v>173</v>
      </c>
      <c r="I36">
        <v>227</v>
      </c>
      <c r="J36">
        <v>76.2</v>
      </c>
      <c r="K36" s="2">
        <v>0.63</v>
      </c>
      <c r="L36">
        <v>109</v>
      </c>
      <c r="M36">
        <v>64</v>
      </c>
      <c r="N36" s="2">
        <v>0.29299999999999998</v>
      </c>
      <c r="O36"/>
      <c r="P36" s="2">
        <v>0.27300000000000002</v>
      </c>
      <c r="Q36">
        <v>115</v>
      </c>
      <c r="R36"/>
      <c r="S36">
        <v>105</v>
      </c>
      <c r="T36">
        <v>111.1</v>
      </c>
      <c r="U36" t="s">
        <v>56</v>
      </c>
      <c r="V36" t="s">
        <v>33</v>
      </c>
      <c r="W36">
        <v>100</v>
      </c>
      <c r="X36">
        <v>5</v>
      </c>
      <c r="Y36">
        <v>3</v>
      </c>
      <c r="Z36">
        <v>0</v>
      </c>
      <c r="AA36">
        <v>0</v>
      </c>
      <c r="AB36" s="8">
        <f>AC36+Z36</f>
        <v>119.1</v>
      </c>
      <c r="AC36">
        <v>119.1</v>
      </c>
      <c r="AD36" t="s">
        <v>131</v>
      </c>
    </row>
    <row r="37" spans="1:30" s="5" customFormat="1" x14ac:dyDescent="0.25">
      <c r="A37">
        <v>588</v>
      </c>
      <c r="B37" t="s">
        <v>132</v>
      </c>
      <c r="C37" t="s">
        <v>133</v>
      </c>
      <c r="D37" t="s">
        <v>77</v>
      </c>
      <c r="E37">
        <v>60</v>
      </c>
      <c r="F37">
        <v>58</v>
      </c>
      <c r="G37">
        <v>4</v>
      </c>
      <c r="H37">
        <v>32</v>
      </c>
      <c r="I37">
        <v>44</v>
      </c>
      <c r="J37">
        <v>72.7</v>
      </c>
      <c r="K37" s="2">
        <v>0.65600000000000003</v>
      </c>
      <c r="L37">
        <v>21</v>
      </c>
      <c r="M37">
        <v>11</v>
      </c>
      <c r="N37" s="2">
        <v>0.28799999999999998</v>
      </c>
      <c r="O37"/>
      <c r="P37" s="2">
        <v>0.28699999999999998</v>
      </c>
      <c r="Q37">
        <v>113</v>
      </c>
      <c r="R37"/>
      <c r="S37">
        <v>111</v>
      </c>
      <c r="T37">
        <v>112</v>
      </c>
      <c r="U37" t="s">
        <v>48</v>
      </c>
      <c r="V37" t="s">
        <v>49</v>
      </c>
      <c r="W37">
        <v>85.9</v>
      </c>
      <c r="X37">
        <v>4</v>
      </c>
      <c r="Y37">
        <v>3</v>
      </c>
      <c r="Z37">
        <v>0</v>
      </c>
      <c r="AA37">
        <v>0</v>
      </c>
      <c r="AB37" s="8">
        <f>AC37+Z37</f>
        <v>119</v>
      </c>
      <c r="AC37">
        <v>119</v>
      </c>
      <c r="AD37" t="s">
        <v>134</v>
      </c>
    </row>
    <row r="38" spans="1:30" x14ac:dyDescent="0.25">
      <c r="B38" t="s">
        <v>399</v>
      </c>
      <c r="C38" t="s">
        <v>170</v>
      </c>
      <c r="D38" t="s">
        <v>71</v>
      </c>
      <c r="F38" t="s">
        <v>396</v>
      </c>
      <c r="G38" t="s">
        <v>396</v>
      </c>
      <c r="H38">
        <v>0</v>
      </c>
      <c r="I38">
        <v>0</v>
      </c>
      <c r="L38">
        <v>0</v>
      </c>
      <c r="M38">
        <v>0</v>
      </c>
      <c r="N38" t="s">
        <v>396</v>
      </c>
      <c r="V38" t="s">
        <v>94</v>
      </c>
      <c r="W38">
        <v>0</v>
      </c>
      <c r="X38">
        <v>5</v>
      </c>
      <c r="Y38">
        <v>0</v>
      </c>
      <c r="Z38">
        <v>119</v>
      </c>
      <c r="AA38">
        <v>0</v>
      </c>
      <c r="AB38" s="8">
        <f>AC38+Z38</f>
        <v>119</v>
      </c>
      <c r="AD38" t="s">
        <v>400</v>
      </c>
    </row>
    <row r="39" spans="1:30" x14ac:dyDescent="0.25">
      <c r="A39" s="5">
        <v>233</v>
      </c>
      <c r="B39" s="5" t="s">
        <v>141</v>
      </c>
      <c r="C39" s="5" t="s">
        <v>142</v>
      </c>
      <c r="D39" s="5" t="s">
        <v>143</v>
      </c>
      <c r="E39" s="5">
        <v>68</v>
      </c>
      <c r="F39" s="5">
        <v>86</v>
      </c>
      <c r="G39" s="5">
        <v>0</v>
      </c>
      <c r="H39" s="5">
        <v>367</v>
      </c>
      <c r="I39" s="5">
        <v>390</v>
      </c>
      <c r="J39" s="5">
        <v>94.1</v>
      </c>
      <c r="K39" s="6">
        <v>0.58099999999999996</v>
      </c>
      <c r="L39" s="5">
        <v>323</v>
      </c>
      <c r="M39" s="5">
        <v>233</v>
      </c>
      <c r="N39" s="6">
        <v>0.3</v>
      </c>
      <c r="O39" s="6">
        <v>0.27500000000000002</v>
      </c>
      <c r="P39" s="6">
        <v>0.28699999999999998</v>
      </c>
      <c r="Q39" s="5">
        <v>117</v>
      </c>
      <c r="R39" s="5">
        <v>110</v>
      </c>
      <c r="S39" s="5">
        <v>111</v>
      </c>
      <c r="T39" s="5">
        <v>113.8</v>
      </c>
      <c r="U39" s="5" t="s">
        <v>32</v>
      </c>
      <c r="V39" s="5" t="s">
        <v>33</v>
      </c>
      <c r="W39" s="5">
        <v>100</v>
      </c>
      <c r="X39" s="5">
        <v>1.5</v>
      </c>
      <c r="Y39" s="5">
        <v>1</v>
      </c>
      <c r="Z39" s="5">
        <v>0</v>
      </c>
      <c r="AA39" s="5">
        <v>2</v>
      </c>
      <c r="AB39" s="5">
        <f>AC39+Z39</f>
        <v>118.3</v>
      </c>
      <c r="AC39" s="5">
        <v>118.3</v>
      </c>
      <c r="AD39" s="5" t="s">
        <v>144</v>
      </c>
    </row>
    <row r="40" spans="1:30" x14ac:dyDescent="0.25">
      <c r="A40" s="5">
        <v>428</v>
      </c>
      <c r="B40" s="5" t="s">
        <v>145</v>
      </c>
      <c r="C40" s="5" t="s">
        <v>146</v>
      </c>
      <c r="D40" s="5" t="s">
        <v>37</v>
      </c>
      <c r="E40" s="5">
        <v>54</v>
      </c>
      <c r="F40" s="5">
        <v>80</v>
      </c>
      <c r="G40" s="5">
        <v>1</v>
      </c>
      <c r="H40" s="5">
        <v>219</v>
      </c>
      <c r="I40" s="5">
        <v>245</v>
      </c>
      <c r="J40" s="5">
        <v>89.4</v>
      </c>
      <c r="K40" s="6">
        <v>0.56200000000000006</v>
      </c>
      <c r="L40" s="5">
        <v>123</v>
      </c>
      <c r="M40" s="5">
        <v>96</v>
      </c>
      <c r="N40" s="6">
        <v>0.29399999999999998</v>
      </c>
      <c r="O40" s="5"/>
      <c r="P40" s="6">
        <v>0.28699999999999998</v>
      </c>
      <c r="Q40" s="5">
        <v>115</v>
      </c>
      <c r="R40" s="5"/>
      <c r="S40" s="5">
        <v>111</v>
      </c>
      <c r="T40" s="5">
        <v>108.3</v>
      </c>
      <c r="U40" s="5" t="s">
        <v>56</v>
      </c>
      <c r="V40" s="5" t="s">
        <v>33</v>
      </c>
      <c r="W40" s="5">
        <v>100</v>
      </c>
      <c r="X40" s="5">
        <v>4</v>
      </c>
      <c r="Y40" s="5">
        <v>5</v>
      </c>
      <c r="Z40" s="5">
        <v>0</v>
      </c>
      <c r="AA40" s="5">
        <v>1</v>
      </c>
      <c r="AB40" s="5">
        <f>AC40+Z40</f>
        <v>118.3</v>
      </c>
      <c r="AC40" s="5">
        <v>118.3</v>
      </c>
      <c r="AD40" s="5" t="s">
        <v>147</v>
      </c>
    </row>
    <row r="41" spans="1:30" x14ac:dyDescent="0.25">
      <c r="A41">
        <v>126</v>
      </c>
      <c r="B41" t="s">
        <v>54</v>
      </c>
      <c r="C41" t="s">
        <v>148</v>
      </c>
      <c r="D41" t="s">
        <v>77</v>
      </c>
      <c r="E41">
        <v>71</v>
      </c>
      <c r="F41">
        <v>65</v>
      </c>
      <c r="G41">
        <v>0</v>
      </c>
      <c r="H41">
        <v>325</v>
      </c>
      <c r="I41">
        <v>395</v>
      </c>
      <c r="J41">
        <v>82.3</v>
      </c>
      <c r="K41" s="2">
        <v>0.52100000000000002</v>
      </c>
      <c r="L41">
        <v>263</v>
      </c>
      <c r="M41">
        <v>242</v>
      </c>
      <c r="N41" s="2">
        <v>0.29399999999999998</v>
      </c>
      <c r="O41" s="2">
        <v>0.29499999999999998</v>
      </c>
      <c r="P41" s="2">
        <v>0.26400000000000001</v>
      </c>
      <c r="Q41">
        <v>115</v>
      </c>
      <c r="R41">
        <v>118</v>
      </c>
      <c r="S41">
        <v>102</v>
      </c>
      <c r="T41">
        <v>113.1</v>
      </c>
      <c r="U41" t="s">
        <v>32</v>
      </c>
      <c r="V41" t="s">
        <v>33</v>
      </c>
      <c r="W41">
        <v>100</v>
      </c>
      <c r="X41">
        <v>4</v>
      </c>
      <c r="Y41">
        <v>0</v>
      </c>
      <c r="Z41">
        <v>0</v>
      </c>
      <c r="AA41">
        <v>1</v>
      </c>
      <c r="AB41" s="8">
        <f>AC41+Z41</f>
        <v>118.1</v>
      </c>
      <c r="AC41">
        <v>118.1</v>
      </c>
      <c r="AD41" t="s">
        <v>149</v>
      </c>
    </row>
    <row r="42" spans="1:30" s="3" customFormat="1" x14ac:dyDescent="0.25">
      <c r="A42" s="3">
        <v>383</v>
      </c>
      <c r="B42" s="3" t="s">
        <v>66</v>
      </c>
      <c r="C42" s="3" t="s">
        <v>150</v>
      </c>
      <c r="D42" s="3" t="s">
        <v>37</v>
      </c>
      <c r="E42" s="3">
        <v>60</v>
      </c>
      <c r="F42" s="3">
        <v>69</v>
      </c>
      <c r="G42" s="3">
        <v>2</v>
      </c>
      <c r="H42" s="3">
        <v>177</v>
      </c>
      <c r="I42" s="3">
        <v>231</v>
      </c>
      <c r="J42" s="3">
        <v>76.599999999999994</v>
      </c>
      <c r="K42" s="4">
        <v>0.56499999999999995</v>
      </c>
      <c r="L42" s="3">
        <v>100</v>
      </c>
      <c r="M42" s="3">
        <v>77</v>
      </c>
      <c r="N42" s="4">
        <v>0.29899999999999999</v>
      </c>
      <c r="P42" s="4">
        <v>0.29799999999999999</v>
      </c>
      <c r="Q42" s="3">
        <v>117</v>
      </c>
      <c r="S42" s="3">
        <v>115</v>
      </c>
      <c r="T42" s="3">
        <v>110.7</v>
      </c>
      <c r="U42" s="3" t="s">
        <v>56</v>
      </c>
      <c r="V42" s="3" t="s">
        <v>33</v>
      </c>
      <c r="W42" s="3">
        <v>100</v>
      </c>
      <c r="X42" s="3">
        <v>4</v>
      </c>
      <c r="Y42" s="3">
        <v>3</v>
      </c>
      <c r="Z42" s="3">
        <v>0</v>
      </c>
      <c r="AA42" s="3">
        <v>0</v>
      </c>
      <c r="AB42" s="3">
        <f>AC42+Z42</f>
        <v>117.7</v>
      </c>
      <c r="AC42" s="3">
        <v>117.7</v>
      </c>
      <c r="AD42" s="3" t="s">
        <v>151</v>
      </c>
    </row>
    <row r="43" spans="1:30" x14ac:dyDescent="0.25">
      <c r="A43">
        <v>484</v>
      </c>
      <c r="B43" t="s">
        <v>152</v>
      </c>
      <c r="C43" t="s">
        <v>153</v>
      </c>
      <c r="D43" t="s">
        <v>37</v>
      </c>
      <c r="E43">
        <v>70</v>
      </c>
      <c r="F43">
        <v>0</v>
      </c>
      <c r="G43">
        <v>0</v>
      </c>
      <c r="H43">
        <v>95</v>
      </c>
      <c r="I43">
        <v>143</v>
      </c>
      <c r="J43">
        <v>66.400000000000006</v>
      </c>
      <c r="K43" s="2">
        <v>0.53700000000000003</v>
      </c>
      <c r="L43">
        <v>51</v>
      </c>
      <c r="M43">
        <v>44</v>
      </c>
      <c r="N43" s="2">
        <v>0</v>
      </c>
      <c r="P43" s="2">
        <v>0.34799999999999998</v>
      </c>
      <c r="Q43">
        <v>0</v>
      </c>
      <c r="S43">
        <v>134</v>
      </c>
      <c r="T43">
        <v>115.5</v>
      </c>
      <c r="U43" t="s">
        <v>106</v>
      </c>
      <c r="V43" t="s">
        <v>33</v>
      </c>
      <c r="W43">
        <v>90</v>
      </c>
      <c r="X43">
        <v>4</v>
      </c>
      <c r="Y43">
        <v>0</v>
      </c>
      <c r="Z43">
        <v>0</v>
      </c>
      <c r="AA43">
        <v>-2</v>
      </c>
      <c r="AB43" s="8">
        <f>AC43+Z43</f>
        <v>117.5</v>
      </c>
      <c r="AC43">
        <v>117.5</v>
      </c>
      <c r="AD43" t="s">
        <v>154</v>
      </c>
    </row>
    <row r="44" spans="1:30" x14ac:dyDescent="0.25">
      <c r="A44">
        <v>159</v>
      </c>
      <c r="B44" t="s">
        <v>155</v>
      </c>
      <c r="C44" t="s">
        <v>156</v>
      </c>
      <c r="D44" t="s">
        <v>31</v>
      </c>
      <c r="E44">
        <v>65</v>
      </c>
      <c r="F44">
        <v>50</v>
      </c>
      <c r="G44">
        <v>1</v>
      </c>
      <c r="H44">
        <v>253</v>
      </c>
      <c r="I44">
        <v>363</v>
      </c>
      <c r="J44">
        <v>69.7</v>
      </c>
      <c r="K44" s="2">
        <v>0.46200000000000002</v>
      </c>
      <c r="L44">
        <v>228</v>
      </c>
      <c r="M44">
        <v>266</v>
      </c>
      <c r="N44" s="2">
        <v>0.3</v>
      </c>
      <c r="O44" s="2">
        <v>0.32500000000000001</v>
      </c>
      <c r="P44" s="2">
        <v>0.22500000000000001</v>
      </c>
      <c r="Q44">
        <v>117</v>
      </c>
      <c r="R44">
        <v>129</v>
      </c>
      <c r="S44">
        <v>87</v>
      </c>
      <c r="T44">
        <v>114.9</v>
      </c>
      <c r="U44" t="s">
        <v>32</v>
      </c>
      <c r="V44" t="s">
        <v>33</v>
      </c>
      <c r="W44">
        <v>97.5</v>
      </c>
      <c r="X44">
        <v>3.5</v>
      </c>
      <c r="Y44">
        <v>1</v>
      </c>
      <c r="Z44">
        <v>0</v>
      </c>
      <c r="AA44">
        <v>-2</v>
      </c>
      <c r="AB44" s="8">
        <f>AC44+Z44</f>
        <v>117.4</v>
      </c>
      <c r="AC44">
        <v>117.4</v>
      </c>
      <c r="AD44" t="s">
        <v>157</v>
      </c>
    </row>
    <row r="45" spans="1:30" s="3" customFormat="1" x14ac:dyDescent="0.25">
      <c r="A45" s="3">
        <v>565</v>
      </c>
      <c r="B45" s="3" t="s">
        <v>158</v>
      </c>
      <c r="C45" s="3" t="s">
        <v>88</v>
      </c>
      <c r="D45" s="3" t="s">
        <v>37</v>
      </c>
      <c r="E45" s="3">
        <v>67</v>
      </c>
      <c r="F45" s="3">
        <v>72</v>
      </c>
      <c r="G45" s="3">
        <v>11</v>
      </c>
      <c r="H45" s="3">
        <v>48</v>
      </c>
      <c r="I45" s="3">
        <v>66</v>
      </c>
      <c r="J45" s="3">
        <v>72.7</v>
      </c>
      <c r="K45" s="4">
        <v>0.54200000000000004</v>
      </c>
      <c r="L45" s="3">
        <v>26</v>
      </c>
      <c r="M45" s="3">
        <v>22</v>
      </c>
      <c r="N45" s="4">
        <v>0.28100000000000003</v>
      </c>
      <c r="P45" s="4">
        <v>0.30099999999999999</v>
      </c>
      <c r="Q45" s="3">
        <v>110</v>
      </c>
      <c r="S45" s="3">
        <v>116</v>
      </c>
      <c r="T45" s="3">
        <v>112.3</v>
      </c>
      <c r="U45" s="3" t="s">
        <v>56</v>
      </c>
      <c r="V45" s="3" t="s">
        <v>33</v>
      </c>
      <c r="W45" s="3">
        <v>100</v>
      </c>
      <c r="X45" s="3">
        <v>4</v>
      </c>
      <c r="Y45" s="3">
        <v>1</v>
      </c>
      <c r="Z45" s="3">
        <v>0</v>
      </c>
      <c r="AA45" s="3">
        <v>0</v>
      </c>
      <c r="AB45" s="3">
        <f>AC45+Z45</f>
        <v>117.3</v>
      </c>
      <c r="AC45" s="3">
        <v>117.3</v>
      </c>
      <c r="AD45" s="3" t="s">
        <v>159</v>
      </c>
    </row>
    <row r="46" spans="1:30" x14ac:dyDescent="0.25">
      <c r="A46">
        <v>229</v>
      </c>
      <c r="B46" t="s">
        <v>66</v>
      </c>
      <c r="C46" t="s">
        <v>168</v>
      </c>
      <c r="D46" t="s">
        <v>47</v>
      </c>
      <c r="E46">
        <v>69</v>
      </c>
      <c r="F46">
        <v>82</v>
      </c>
      <c r="G46">
        <v>0</v>
      </c>
      <c r="H46">
        <v>347</v>
      </c>
      <c r="I46">
        <v>403</v>
      </c>
      <c r="J46">
        <v>86.1</v>
      </c>
      <c r="K46" s="2">
        <v>0.54500000000000004</v>
      </c>
      <c r="L46">
        <v>212</v>
      </c>
      <c r="M46">
        <v>177</v>
      </c>
      <c r="N46" s="2">
        <v>0.27400000000000002</v>
      </c>
      <c r="P46" s="2">
        <v>0.29799999999999999</v>
      </c>
      <c r="Q46">
        <v>107</v>
      </c>
      <c r="S46">
        <v>115</v>
      </c>
      <c r="T46">
        <v>111.7</v>
      </c>
      <c r="U46" t="s">
        <v>56</v>
      </c>
      <c r="V46" t="s">
        <v>33</v>
      </c>
      <c r="W46">
        <v>100</v>
      </c>
      <c r="X46">
        <v>2.5</v>
      </c>
      <c r="Y46">
        <v>1</v>
      </c>
      <c r="Z46">
        <v>1</v>
      </c>
      <c r="AA46">
        <v>1</v>
      </c>
      <c r="AB46" s="8">
        <f>AC46+Z46</f>
        <v>117.2</v>
      </c>
      <c r="AC46">
        <v>116.2</v>
      </c>
    </row>
    <row r="47" spans="1:30" x14ac:dyDescent="0.25">
      <c r="A47">
        <v>597</v>
      </c>
      <c r="B47" t="s">
        <v>160</v>
      </c>
      <c r="C47" t="s">
        <v>161</v>
      </c>
      <c r="D47" t="s">
        <v>31</v>
      </c>
      <c r="E47">
        <v>59</v>
      </c>
      <c r="F47">
        <v>72</v>
      </c>
      <c r="G47">
        <v>5</v>
      </c>
      <c r="H47">
        <v>45</v>
      </c>
      <c r="I47">
        <v>64</v>
      </c>
      <c r="J47">
        <v>70.3</v>
      </c>
      <c r="K47" s="2">
        <v>0.68899999999999995</v>
      </c>
      <c r="L47">
        <v>31</v>
      </c>
      <c r="M47">
        <v>14</v>
      </c>
      <c r="N47" s="2">
        <v>0.27300000000000002</v>
      </c>
      <c r="O47" s="2">
        <v>0.26700000000000002</v>
      </c>
      <c r="P47" s="2">
        <v>0.29799999999999999</v>
      </c>
      <c r="Q47">
        <v>107</v>
      </c>
      <c r="R47">
        <v>106</v>
      </c>
      <c r="S47">
        <v>115</v>
      </c>
      <c r="T47">
        <v>108.4</v>
      </c>
      <c r="U47" t="s">
        <v>32</v>
      </c>
      <c r="V47" t="s">
        <v>33</v>
      </c>
      <c r="W47">
        <v>100</v>
      </c>
      <c r="X47">
        <v>3.5</v>
      </c>
      <c r="Y47">
        <v>5</v>
      </c>
      <c r="Z47">
        <v>0</v>
      </c>
      <c r="AA47">
        <v>0</v>
      </c>
      <c r="AB47" s="8">
        <f>AC47+Z47</f>
        <v>116.9</v>
      </c>
      <c r="AC47">
        <v>116.9</v>
      </c>
      <c r="AD47" t="s">
        <v>162</v>
      </c>
    </row>
    <row r="48" spans="1:30" x14ac:dyDescent="0.25">
      <c r="A48">
        <v>595</v>
      </c>
      <c r="B48" t="s">
        <v>169</v>
      </c>
      <c r="C48" t="s">
        <v>170</v>
      </c>
      <c r="D48" t="s">
        <v>47</v>
      </c>
      <c r="E48">
        <v>62</v>
      </c>
      <c r="F48">
        <v>0</v>
      </c>
      <c r="G48">
        <v>0</v>
      </c>
      <c r="H48">
        <v>8</v>
      </c>
      <c r="I48">
        <v>22</v>
      </c>
      <c r="J48">
        <v>36.4</v>
      </c>
      <c r="K48" s="2">
        <v>0.25</v>
      </c>
      <c r="L48">
        <v>2</v>
      </c>
      <c r="M48">
        <v>6</v>
      </c>
      <c r="N48" s="2">
        <v>0</v>
      </c>
      <c r="P48" s="2">
        <v>0.29599999999999999</v>
      </c>
      <c r="Q48">
        <v>0</v>
      </c>
      <c r="S48">
        <v>114</v>
      </c>
      <c r="T48">
        <v>114.4</v>
      </c>
      <c r="U48" t="s">
        <v>102</v>
      </c>
      <c r="V48" t="s">
        <v>86</v>
      </c>
      <c r="W48">
        <v>61.6</v>
      </c>
      <c r="X48">
        <v>2.5</v>
      </c>
      <c r="Y48">
        <v>3</v>
      </c>
      <c r="Z48">
        <v>1</v>
      </c>
      <c r="AA48">
        <v>-4</v>
      </c>
      <c r="AB48" s="8">
        <f>AC48+Z48</f>
        <v>116.9</v>
      </c>
      <c r="AC48">
        <v>115.9</v>
      </c>
      <c r="AD48" t="s">
        <v>171</v>
      </c>
    </row>
    <row r="49" spans="1:30" x14ac:dyDescent="0.25">
      <c r="A49">
        <v>434</v>
      </c>
      <c r="B49" t="s">
        <v>112</v>
      </c>
      <c r="C49" t="s">
        <v>163</v>
      </c>
      <c r="D49" t="s">
        <v>47</v>
      </c>
      <c r="E49">
        <v>69</v>
      </c>
      <c r="F49">
        <v>26</v>
      </c>
      <c r="G49">
        <v>1</v>
      </c>
      <c r="H49">
        <v>102</v>
      </c>
      <c r="I49">
        <v>185</v>
      </c>
      <c r="J49">
        <v>55.1</v>
      </c>
      <c r="K49" s="2">
        <v>0.52900000000000003</v>
      </c>
      <c r="L49">
        <v>54</v>
      </c>
      <c r="M49">
        <v>48</v>
      </c>
      <c r="N49" s="2">
        <v>0.30299999999999999</v>
      </c>
      <c r="P49" s="2">
        <v>0.32800000000000001</v>
      </c>
      <c r="Q49">
        <v>118</v>
      </c>
      <c r="S49">
        <v>127</v>
      </c>
      <c r="T49">
        <v>117.3</v>
      </c>
      <c r="U49" t="s">
        <v>56</v>
      </c>
      <c r="V49" t="s">
        <v>49</v>
      </c>
      <c r="W49">
        <v>85</v>
      </c>
      <c r="X49">
        <v>2.5</v>
      </c>
      <c r="Y49">
        <v>1</v>
      </c>
      <c r="Z49">
        <v>0</v>
      </c>
      <c r="AA49">
        <v>-4</v>
      </c>
      <c r="AB49" s="8">
        <f>AC49+Z49</f>
        <v>116.8</v>
      </c>
      <c r="AC49">
        <v>116.8</v>
      </c>
      <c r="AD49" t="s">
        <v>164</v>
      </c>
    </row>
    <row r="50" spans="1:30" x14ac:dyDescent="0.25">
      <c r="A50">
        <v>373</v>
      </c>
      <c r="B50" t="s">
        <v>165</v>
      </c>
      <c r="C50" t="s">
        <v>166</v>
      </c>
      <c r="D50" t="s">
        <v>139</v>
      </c>
      <c r="E50">
        <v>60</v>
      </c>
      <c r="F50">
        <v>90</v>
      </c>
      <c r="G50">
        <v>4</v>
      </c>
      <c r="H50">
        <v>317</v>
      </c>
      <c r="I50">
        <v>358</v>
      </c>
      <c r="J50">
        <v>88.5</v>
      </c>
      <c r="K50" s="2">
        <v>0.53</v>
      </c>
      <c r="L50">
        <v>168</v>
      </c>
      <c r="M50">
        <v>149</v>
      </c>
      <c r="N50" s="2">
        <v>0.29099999999999998</v>
      </c>
      <c r="O50" s="2">
        <v>0.30499999999999999</v>
      </c>
      <c r="P50" s="2">
        <v>0.24099999999999999</v>
      </c>
      <c r="Q50">
        <v>114</v>
      </c>
      <c r="R50">
        <v>122</v>
      </c>
      <c r="S50">
        <v>93</v>
      </c>
      <c r="T50">
        <v>112.1</v>
      </c>
      <c r="U50" t="s">
        <v>32</v>
      </c>
      <c r="V50" t="s">
        <v>33</v>
      </c>
      <c r="W50">
        <v>100</v>
      </c>
      <c r="X50">
        <v>0.5</v>
      </c>
      <c r="Y50">
        <v>3</v>
      </c>
      <c r="Z50">
        <v>0</v>
      </c>
      <c r="AA50">
        <v>1</v>
      </c>
      <c r="AB50" s="8">
        <f>AC50+Z50</f>
        <v>116.6</v>
      </c>
      <c r="AC50">
        <v>116.6</v>
      </c>
      <c r="AD50" t="s">
        <v>167</v>
      </c>
    </row>
    <row r="51" spans="1:30" x14ac:dyDescent="0.25">
      <c r="A51">
        <v>537</v>
      </c>
      <c r="B51" t="s">
        <v>183</v>
      </c>
      <c r="C51" t="s">
        <v>184</v>
      </c>
      <c r="D51" t="s">
        <v>47</v>
      </c>
      <c r="E51">
        <v>67</v>
      </c>
      <c r="F51">
        <v>65</v>
      </c>
      <c r="G51">
        <v>1</v>
      </c>
      <c r="H51">
        <v>122</v>
      </c>
      <c r="I51">
        <v>127</v>
      </c>
      <c r="J51">
        <v>96.1</v>
      </c>
      <c r="K51" s="2">
        <v>0.59</v>
      </c>
      <c r="L51">
        <v>72</v>
      </c>
      <c r="M51">
        <v>50</v>
      </c>
      <c r="N51" s="2">
        <v>0.29299999999999998</v>
      </c>
      <c r="O51" s="2">
        <v>0.24399999999999999</v>
      </c>
      <c r="P51" s="2">
        <v>0.30399999999999999</v>
      </c>
      <c r="Q51">
        <v>115</v>
      </c>
      <c r="R51">
        <v>97</v>
      </c>
      <c r="S51">
        <v>117</v>
      </c>
      <c r="T51">
        <v>109.8</v>
      </c>
      <c r="U51" t="s">
        <v>32</v>
      </c>
      <c r="V51" t="s">
        <v>33</v>
      </c>
      <c r="W51">
        <v>100</v>
      </c>
      <c r="X51">
        <v>2.5</v>
      </c>
      <c r="Y51">
        <v>1</v>
      </c>
      <c r="Z51">
        <v>1</v>
      </c>
      <c r="AA51">
        <v>2</v>
      </c>
      <c r="AB51" s="8">
        <f>AC51+Z51</f>
        <v>116.3</v>
      </c>
      <c r="AC51">
        <v>115.3</v>
      </c>
      <c r="AD51" t="s">
        <v>185</v>
      </c>
    </row>
    <row r="52" spans="1:30" x14ac:dyDescent="0.25">
      <c r="A52">
        <v>556</v>
      </c>
      <c r="B52" t="s">
        <v>87</v>
      </c>
      <c r="C52" t="s">
        <v>174</v>
      </c>
      <c r="D52" t="s">
        <v>92</v>
      </c>
      <c r="E52">
        <v>54</v>
      </c>
      <c r="F52">
        <v>93</v>
      </c>
      <c r="G52">
        <v>0</v>
      </c>
      <c r="H52">
        <v>52</v>
      </c>
      <c r="I52">
        <v>66</v>
      </c>
      <c r="J52">
        <v>78.8</v>
      </c>
      <c r="K52" s="2">
        <v>0.48099999999999998</v>
      </c>
      <c r="L52">
        <v>25</v>
      </c>
      <c r="M52">
        <v>27</v>
      </c>
      <c r="N52" s="2">
        <v>0.28799999999999998</v>
      </c>
      <c r="P52" s="2">
        <v>0.248</v>
      </c>
      <c r="Q52">
        <v>113</v>
      </c>
      <c r="S52">
        <v>96</v>
      </c>
      <c r="T52">
        <v>109.1</v>
      </c>
      <c r="U52" t="s">
        <v>111</v>
      </c>
      <c r="V52" t="s">
        <v>33</v>
      </c>
      <c r="W52">
        <v>100</v>
      </c>
      <c r="X52">
        <v>1.5</v>
      </c>
      <c r="Y52">
        <v>5</v>
      </c>
      <c r="Z52">
        <v>0</v>
      </c>
      <c r="AA52">
        <v>0</v>
      </c>
      <c r="AB52" s="8">
        <f>AC52+Z52</f>
        <v>115.6</v>
      </c>
      <c r="AC52">
        <v>115.6</v>
      </c>
    </row>
    <row r="53" spans="1:30" x14ac:dyDescent="0.25">
      <c r="A53">
        <v>571</v>
      </c>
      <c r="B53" t="s">
        <v>90</v>
      </c>
      <c r="C53" t="s">
        <v>175</v>
      </c>
      <c r="D53" t="s">
        <v>92</v>
      </c>
      <c r="E53">
        <v>64</v>
      </c>
      <c r="F53">
        <v>0</v>
      </c>
      <c r="G53">
        <v>0</v>
      </c>
      <c r="H53">
        <v>47</v>
      </c>
      <c r="I53">
        <v>64</v>
      </c>
      <c r="J53">
        <v>73.400000000000006</v>
      </c>
      <c r="K53" s="2">
        <v>0.44700000000000001</v>
      </c>
      <c r="L53">
        <v>21</v>
      </c>
      <c r="M53">
        <v>26</v>
      </c>
      <c r="N53" s="2">
        <v>0</v>
      </c>
      <c r="O53" s="2">
        <v>0.29099999999999998</v>
      </c>
      <c r="P53" s="2">
        <v>0.26400000000000001</v>
      </c>
      <c r="Q53">
        <v>0</v>
      </c>
      <c r="R53">
        <v>116</v>
      </c>
      <c r="S53">
        <v>102</v>
      </c>
      <c r="T53">
        <v>111.1</v>
      </c>
      <c r="U53" t="s">
        <v>176</v>
      </c>
      <c r="V53" t="s">
        <v>33</v>
      </c>
      <c r="W53">
        <v>92</v>
      </c>
      <c r="X53">
        <v>1.5</v>
      </c>
      <c r="Y53">
        <v>3</v>
      </c>
      <c r="Z53">
        <v>0</v>
      </c>
      <c r="AA53">
        <v>0</v>
      </c>
      <c r="AB53" s="8">
        <f>AC53+Z53</f>
        <v>115.6</v>
      </c>
      <c r="AC53">
        <v>115.6</v>
      </c>
      <c r="AD53" t="s">
        <v>177</v>
      </c>
    </row>
    <row r="54" spans="1:30" x14ac:dyDescent="0.25">
      <c r="A54">
        <v>587</v>
      </c>
      <c r="B54" t="s">
        <v>178</v>
      </c>
      <c r="C54" t="s">
        <v>179</v>
      </c>
      <c r="D54" t="s">
        <v>92</v>
      </c>
      <c r="E54">
        <v>58</v>
      </c>
      <c r="F54">
        <v>74</v>
      </c>
      <c r="G54">
        <v>1</v>
      </c>
      <c r="H54">
        <v>62</v>
      </c>
      <c r="I54">
        <v>65</v>
      </c>
      <c r="J54">
        <v>95.4</v>
      </c>
      <c r="K54" s="2">
        <v>0.5</v>
      </c>
      <c r="L54">
        <v>31</v>
      </c>
      <c r="M54">
        <v>31</v>
      </c>
      <c r="N54" s="2">
        <v>0.27900000000000003</v>
      </c>
      <c r="O54" s="2">
        <v>0.28499999999999998</v>
      </c>
      <c r="P54" s="2">
        <v>0.23899999999999999</v>
      </c>
      <c r="Q54">
        <v>109</v>
      </c>
      <c r="R54">
        <v>114</v>
      </c>
      <c r="S54">
        <v>92</v>
      </c>
      <c r="T54">
        <v>107.1</v>
      </c>
      <c r="U54" t="s">
        <v>32</v>
      </c>
      <c r="V54" t="s">
        <v>33</v>
      </c>
      <c r="W54">
        <v>100</v>
      </c>
      <c r="X54">
        <v>1.5</v>
      </c>
      <c r="Y54">
        <v>5</v>
      </c>
      <c r="Z54">
        <v>0</v>
      </c>
      <c r="AA54">
        <v>2</v>
      </c>
      <c r="AB54" s="8">
        <f>AC54+Z54</f>
        <v>115.6</v>
      </c>
      <c r="AC54">
        <v>115.6</v>
      </c>
    </row>
    <row r="55" spans="1:30" x14ac:dyDescent="0.25">
      <c r="A55">
        <v>596</v>
      </c>
      <c r="B55" t="s">
        <v>180</v>
      </c>
      <c r="C55" t="s">
        <v>181</v>
      </c>
      <c r="D55" t="s">
        <v>31</v>
      </c>
      <c r="E55">
        <v>58</v>
      </c>
      <c r="F55">
        <v>61</v>
      </c>
      <c r="G55">
        <v>4</v>
      </c>
      <c r="H55">
        <v>42</v>
      </c>
      <c r="I55">
        <v>63</v>
      </c>
      <c r="J55">
        <v>66.7</v>
      </c>
      <c r="K55" s="2">
        <v>0.45200000000000001</v>
      </c>
      <c r="L55">
        <v>19</v>
      </c>
      <c r="M55">
        <v>23</v>
      </c>
      <c r="N55" s="2">
        <v>0.30599999999999999</v>
      </c>
      <c r="O55" s="2">
        <v>0.27800000000000002</v>
      </c>
      <c r="P55" s="2">
        <v>0.20699999999999999</v>
      </c>
      <c r="Q55">
        <v>120</v>
      </c>
      <c r="R55">
        <v>111</v>
      </c>
      <c r="S55">
        <v>80</v>
      </c>
      <c r="T55">
        <v>109.1</v>
      </c>
      <c r="U55" t="s">
        <v>32</v>
      </c>
      <c r="V55" t="s">
        <v>33</v>
      </c>
      <c r="W55">
        <v>97.5</v>
      </c>
      <c r="X55">
        <v>3.5</v>
      </c>
      <c r="Y55">
        <v>5</v>
      </c>
      <c r="Z55">
        <v>0</v>
      </c>
      <c r="AA55">
        <v>-2</v>
      </c>
      <c r="AB55" s="8">
        <f>AC55+Z55</f>
        <v>115.6</v>
      </c>
      <c r="AC55">
        <v>115.6</v>
      </c>
      <c r="AD55" t="s">
        <v>182</v>
      </c>
    </row>
    <row r="56" spans="1:30" x14ac:dyDescent="0.25">
      <c r="A56">
        <v>514</v>
      </c>
      <c r="B56" t="s">
        <v>123</v>
      </c>
      <c r="C56" t="s">
        <v>186</v>
      </c>
      <c r="D56" t="s">
        <v>37</v>
      </c>
      <c r="E56">
        <v>60</v>
      </c>
      <c r="F56">
        <v>92</v>
      </c>
      <c r="G56">
        <v>1</v>
      </c>
      <c r="H56">
        <v>138</v>
      </c>
      <c r="I56">
        <v>144</v>
      </c>
      <c r="J56">
        <v>95.8</v>
      </c>
      <c r="K56" s="2">
        <v>0.52600000000000002</v>
      </c>
      <c r="L56">
        <v>72</v>
      </c>
      <c r="M56">
        <v>65</v>
      </c>
      <c r="N56" s="2">
        <v>0.248</v>
      </c>
      <c r="O56" s="2">
        <v>0.3</v>
      </c>
      <c r="P56" s="2">
        <v>0.28299999999999997</v>
      </c>
      <c r="Q56">
        <v>97</v>
      </c>
      <c r="R56">
        <v>120</v>
      </c>
      <c r="S56">
        <v>109</v>
      </c>
      <c r="T56">
        <v>106.2</v>
      </c>
      <c r="U56" t="s">
        <v>32</v>
      </c>
      <c r="V56" t="s">
        <v>33</v>
      </c>
      <c r="W56">
        <v>100</v>
      </c>
      <c r="X56">
        <v>4</v>
      </c>
      <c r="Y56">
        <v>3</v>
      </c>
      <c r="Z56">
        <v>0</v>
      </c>
      <c r="AA56">
        <v>2</v>
      </c>
      <c r="AB56" s="8">
        <f>AC56+Z56</f>
        <v>115.2</v>
      </c>
      <c r="AC56">
        <v>115.2</v>
      </c>
      <c r="AD56" t="s">
        <v>185</v>
      </c>
    </row>
    <row r="57" spans="1:30" s="5" customFormat="1" x14ac:dyDescent="0.25">
      <c r="A57"/>
      <c r="B57" t="s">
        <v>35</v>
      </c>
      <c r="C57" t="s">
        <v>306</v>
      </c>
      <c r="D57" t="s">
        <v>139</v>
      </c>
      <c r="E57"/>
      <c r="F57" t="s">
        <v>396</v>
      </c>
      <c r="G57" t="s">
        <v>396</v>
      </c>
      <c r="H57">
        <v>0</v>
      </c>
      <c r="I57">
        <v>0</v>
      </c>
      <c r="J57"/>
      <c r="K57"/>
      <c r="L57">
        <v>0</v>
      </c>
      <c r="M57">
        <v>0</v>
      </c>
      <c r="N57" t="s">
        <v>396</v>
      </c>
      <c r="O57"/>
      <c r="P57"/>
      <c r="Q57"/>
      <c r="R57"/>
      <c r="S57"/>
      <c r="T57"/>
      <c r="U57"/>
      <c r="V57" t="s">
        <v>94</v>
      </c>
      <c r="W57">
        <v>0</v>
      </c>
      <c r="X57">
        <v>0.5</v>
      </c>
      <c r="Y57">
        <v>0</v>
      </c>
      <c r="Z57">
        <v>115</v>
      </c>
      <c r="AA57">
        <v>0</v>
      </c>
      <c r="AB57" s="8">
        <f>AC57+Z57</f>
        <v>115</v>
      </c>
      <c r="AC57"/>
      <c r="AD57" t="s">
        <v>410</v>
      </c>
    </row>
    <row r="58" spans="1:30" x14ac:dyDescent="0.25">
      <c r="A58">
        <v>615</v>
      </c>
      <c r="B58" t="s">
        <v>187</v>
      </c>
      <c r="C58" t="s">
        <v>188</v>
      </c>
      <c r="D58" t="s">
        <v>189</v>
      </c>
      <c r="E58">
        <v>55</v>
      </c>
      <c r="F58">
        <v>61</v>
      </c>
      <c r="G58">
        <v>6</v>
      </c>
      <c r="H58">
        <v>17</v>
      </c>
      <c r="I58">
        <v>22</v>
      </c>
      <c r="J58">
        <v>77.3</v>
      </c>
      <c r="K58" s="2">
        <v>0.41199999999999998</v>
      </c>
      <c r="L58">
        <v>7</v>
      </c>
      <c r="M58">
        <v>10</v>
      </c>
      <c r="N58" s="2">
        <v>0.28100000000000003</v>
      </c>
      <c r="Q58">
        <v>110</v>
      </c>
      <c r="T58">
        <v>109.8</v>
      </c>
      <c r="U58" t="s">
        <v>85</v>
      </c>
      <c r="V58" t="s">
        <v>86</v>
      </c>
      <c r="W58">
        <v>69.099999999999994</v>
      </c>
      <c r="X58">
        <v>0</v>
      </c>
      <c r="Y58">
        <v>5</v>
      </c>
      <c r="Z58">
        <v>0</v>
      </c>
      <c r="AA58">
        <v>0</v>
      </c>
      <c r="AB58" s="8">
        <f>AC58+Z58</f>
        <v>114.8</v>
      </c>
      <c r="AC58">
        <v>114.8</v>
      </c>
    </row>
    <row r="59" spans="1:30" x14ac:dyDescent="0.25">
      <c r="A59">
        <v>374</v>
      </c>
      <c r="B59" t="s">
        <v>169</v>
      </c>
      <c r="C59" t="s">
        <v>172</v>
      </c>
      <c r="D59" t="s">
        <v>77</v>
      </c>
      <c r="E59">
        <v>67</v>
      </c>
      <c r="F59">
        <v>0</v>
      </c>
      <c r="G59">
        <v>0</v>
      </c>
      <c r="H59">
        <v>130</v>
      </c>
      <c r="I59">
        <v>150</v>
      </c>
      <c r="J59">
        <v>86.7</v>
      </c>
      <c r="K59" s="2">
        <v>0.51500000000000001</v>
      </c>
      <c r="L59">
        <v>67</v>
      </c>
      <c r="M59">
        <v>63</v>
      </c>
      <c r="N59" s="2">
        <v>0</v>
      </c>
      <c r="P59" s="2">
        <v>0.28999999999999998</v>
      </c>
      <c r="Q59">
        <v>0</v>
      </c>
      <c r="S59">
        <v>112</v>
      </c>
      <c r="T59">
        <v>109.7</v>
      </c>
      <c r="U59" t="s">
        <v>106</v>
      </c>
      <c r="V59" t="s">
        <v>33</v>
      </c>
      <c r="W59">
        <v>100</v>
      </c>
      <c r="X59">
        <v>4</v>
      </c>
      <c r="Y59">
        <v>1</v>
      </c>
      <c r="Z59">
        <v>-1</v>
      </c>
      <c r="AA59">
        <v>1</v>
      </c>
      <c r="AB59" s="8">
        <f>AC59+Z59</f>
        <v>114.7</v>
      </c>
      <c r="AC59">
        <v>115.7</v>
      </c>
      <c r="AD59" t="s">
        <v>173</v>
      </c>
    </row>
    <row r="60" spans="1:30" x14ac:dyDescent="0.25">
      <c r="A60">
        <v>610</v>
      </c>
      <c r="B60" t="s">
        <v>190</v>
      </c>
      <c r="C60" t="s">
        <v>191</v>
      </c>
      <c r="D60" t="s">
        <v>192</v>
      </c>
      <c r="E60">
        <v>54</v>
      </c>
      <c r="F60">
        <v>74</v>
      </c>
      <c r="G60">
        <v>3</v>
      </c>
      <c r="H60">
        <v>20</v>
      </c>
      <c r="I60">
        <v>22</v>
      </c>
      <c r="J60">
        <v>90.9</v>
      </c>
      <c r="K60" s="2">
        <v>0.4</v>
      </c>
      <c r="L60">
        <v>8</v>
      </c>
      <c r="M60">
        <v>12</v>
      </c>
      <c r="N60" s="2">
        <v>0.27500000000000002</v>
      </c>
      <c r="Q60">
        <v>108</v>
      </c>
      <c r="T60">
        <v>107.4</v>
      </c>
      <c r="U60" t="s">
        <v>85</v>
      </c>
      <c r="V60" t="s">
        <v>86</v>
      </c>
      <c r="W60">
        <v>69.099999999999994</v>
      </c>
      <c r="X60">
        <v>0</v>
      </c>
      <c r="Y60">
        <v>5</v>
      </c>
      <c r="Z60">
        <v>0</v>
      </c>
      <c r="AA60">
        <v>2</v>
      </c>
      <c r="AB60" s="8">
        <f>AC60+Z60</f>
        <v>114.4</v>
      </c>
      <c r="AC60">
        <v>114.4</v>
      </c>
      <c r="AD60" t="s">
        <v>193</v>
      </c>
    </row>
    <row r="61" spans="1:30" x14ac:dyDescent="0.25">
      <c r="A61">
        <v>467</v>
      </c>
      <c r="B61" t="s">
        <v>45</v>
      </c>
      <c r="C61" t="s">
        <v>198</v>
      </c>
      <c r="D61" t="s">
        <v>47</v>
      </c>
      <c r="E61">
        <v>62</v>
      </c>
      <c r="F61">
        <v>0</v>
      </c>
      <c r="G61">
        <v>0</v>
      </c>
      <c r="H61">
        <v>77</v>
      </c>
      <c r="I61">
        <v>89</v>
      </c>
      <c r="J61">
        <v>86.5</v>
      </c>
      <c r="K61" s="2">
        <v>0.45500000000000002</v>
      </c>
      <c r="L61">
        <v>35</v>
      </c>
      <c r="M61">
        <v>42</v>
      </c>
      <c r="N61" s="2">
        <v>0</v>
      </c>
      <c r="P61" s="2">
        <v>0.26600000000000001</v>
      </c>
      <c r="Q61">
        <v>0</v>
      </c>
      <c r="S61">
        <v>103</v>
      </c>
      <c r="T61">
        <v>106.1</v>
      </c>
      <c r="U61" t="s">
        <v>43</v>
      </c>
      <c r="V61" t="s">
        <v>33</v>
      </c>
      <c r="W61">
        <v>100</v>
      </c>
      <c r="X61">
        <v>2.5</v>
      </c>
      <c r="Y61">
        <v>3</v>
      </c>
      <c r="Z61">
        <v>1</v>
      </c>
      <c r="AA61">
        <v>1</v>
      </c>
      <c r="AB61" s="8">
        <f>AC61+Z61</f>
        <v>113.6</v>
      </c>
      <c r="AC61">
        <v>112.6</v>
      </c>
      <c r="AD61" t="s">
        <v>199</v>
      </c>
    </row>
    <row r="62" spans="1:30" x14ac:dyDescent="0.25">
      <c r="A62" s="5">
        <v>513</v>
      </c>
      <c r="B62" s="5" t="s">
        <v>126</v>
      </c>
      <c r="C62" s="5" t="s">
        <v>194</v>
      </c>
      <c r="D62" s="5" t="s">
        <v>77</v>
      </c>
      <c r="E62" s="5">
        <v>55</v>
      </c>
      <c r="F62" s="5">
        <v>0</v>
      </c>
      <c r="G62" s="5">
        <v>0</v>
      </c>
      <c r="H62" s="5">
        <v>93</v>
      </c>
      <c r="I62" s="5">
        <v>128</v>
      </c>
      <c r="J62" s="5">
        <v>72.7</v>
      </c>
      <c r="K62" s="6">
        <v>0.47799999999999998</v>
      </c>
      <c r="L62" s="5">
        <v>44</v>
      </c>
      <c r="M62" s="5">
        <v>48</v>
      </c>
      <c r="N62" s="6">
        <v>0</v>
      </c>
      <c r="O62" s="6">
        <v>0.26800000000000002</v>
      </c>
      <c r="P62" s="6">
        <v>0.246</v>
      </c>
      <c r="Q62" s="5">
        <v>0</v>
      </c>
      <c r="R62" s="5">
        <v>107</v>
      </c>
      <c r="S62" s="5">
        <v>95</v>
      </c>
      <c r="T62" s="5">
        <v>104.2</v>
      </c>
      <c r="U62" s="5" t="s">
        <v>176</v>
      </c>
      <c r="V62" s="5" t="s">
        <v>33</v>
      </c>
      <c r="W62" s="5">
        <v>92</v>
      </c>
      <c r="X62" s="5">
        <v>4</v>
      </c>
      <c r="Y62" s="5">
        <v>5</v>
      </c>
      <c r="Z62" s="5">
        <v>0</v>
      </c>
      <c r="AA62" s="5">
        <v>0</v>
      </c>
      <c r="AB62" s="5">
        <f>AC62+Z62</f>
        <v>113.2</v>
      </c>
      <c r="AC62" s="5">
        <v>113.2</v>
      </c>
      <c r="AD62" s="5" t="s">
        <v>195</v>
      </c>
    </row>
    <row r="63" spans="1:30" x14ac:dyDescent="0.25">
      <c r="A63">
        <v>530</v>
      </c>
      <c r="B63" t="s">
        <v>35</v>
      </c>
      <c r="C63" t="s">
        <v>196</v>
      </c>
      <c r="D63" t="s">
        <v>143</v>
      </c>
      <c r="F63">
        <v>82</v>
      </c>
      <c r="G63">
        <v>8</v>
      </c>
      <c r="H63">
        <v>84</v>
      </c>
      <c r="I63">
        <v>124</v>
      </c>
      <c r="J63">
        <v>67.7</v>
      </c>
      <c r="K63" s="2">
        <v>0.44600000000000001</v>
      </c>
      <c r="L63">
        <v>37</v>
      </c>
      <c r="M63">
        <v>46</v>
      </c>
      <c r="N63" s="2">
        <v>0</v>
      </c>
      <c r="O63" s="2">
        <v>0.30087964814074369</v>
      </c>
      <c r="P63" s="2">
        <v>0</v>
      </c>
      <c r="Q63">
        <v>0</v>
      </c>
      <c r="R63">
        <v>119.8747767456365</v>
      </c>
      <c r="S63">
        <v>0</v>
      </c>
      <c r="T63">
        <v>113.1</v>
      </c>
      <c r="U63" t="s">
        <v>197</v>
      </c>
      <c r="V63" t="s">
        <v>33</v>
      </c>
      <c r="W63">
        <v>92</v>
      </c>
      <c r="X63">
        <v>1.5</v>
      </c>
      <c r="Y63">
        <v>0</v>
      </c>
      <c r="Z63">
        <v>0</v>
      </c>
      <c r="AA63">
        <v>-2</v>
      </c>
      <c r="AB63" s="8">
        <f>AC63+Z63</f>
        <v>112.6</v>
      </c>
      <c r="AC63">
        <v>112.6</v>
      </c>
    </row>
    <row r="64" spans="1:30" x14ac:dyDescent="0.25">
      <c r="A64">
        <v>612</v>
      </c>
      <c r="B64" t="s">
        <v>187</v>
      </c>
      <c r="C64" t="s">
        <v>200</v>
      </c>
      <c r="D64" t="s">
        <v>47</v>
      </c>
      <c r="E64">
        <v>59</v>
      </c>
      <c r="F64">
        <v>66</v>
      </c>
      <c r="G64">
        <v>4</v>
      </c>
      <c r="H64">
        <v>18</v>
      </c>
      <c r="I64">
        <v>22</v>
      </c>
      <c r="J64">
        <v>81.8</v>
      </c>
      <c r="K64" s="2">
        <v>0.55600000000000005</v>
      </c>
      <c r="L64">
        <v>10</v>
      </c>
      <c r="M64">
        <v>8</v>
      </c>
      <c r="N64" s="2">
        <v>0.26600000000000001</v>
      </c>
      <c r="Q64">
        <v>104</v>
      </c>
      <c r="T64">
        <v>103.9</v>
      </c>
      <c r="U64" t="s">
        <v>85</v>
      </c>
      <c r="V64" t="s">
        <v>86</v>
      </c>
      <c r="W64">
        <v>69.099999999999994</v>
      </c>
      <c r="X64">
        <v>2.5</v>
      </c>
      <c r="Y64">
        <v>5</v>
      </c>
      <c r="Z64">
        <v>0</v>
      </c>
      <c r="AA64">
        <v>1</v>
      </c>
      <c r="AB64" s="8">
        <f>AC64+Z64</f>
        <v>112.4</v>
      </c>
      <c r="AC64">
        <v>112.4</v>
      </c>
      <c r="AD64" t="s">
        <v>201</v>
      </c>
    </row>
    <row r="65" spans="1:30" x14ac:dyDescent="0.25">
      <c r="A65">
        <v>599</v>
      </c>
      <c r="B65" t="s">
        <v>35</v>
      </c>
      <c r="C65" t="s">
        <v>202</v>
      </c>
      <c r="D65" t="s">
        <v>139</v>
      </c>
      <c r="E65">
        <v>69</v>
      </c>
      <c r="F65">
        <v>0</v>
      </c>
      <c r="G65">
        <v>0</v>
      </c>
      <c r="H65">
        <v>21</v>
      </c>
      <c r="I65">
        <v>21</v>
      </c>
      <c r="J65">
        <v>100</v>
      </c>
      <c r="K65" s="2">
        <v>0.57099999999999995</v>
      </c>
      <c r="L65">
        <v>12</v>
      </c>
      <c r="M65">
        <v>9</v>
      </c>
      <c r="N65" s="2">
        <v>0</v>
      </c>
      <c r="O65" s="2">
        <v>0.27200000000000002</v>
      </c>
      <c r="Q65">
        <v>0</v>
      </c>
      <c r="R65">
        <v>108</v>
      </c>
      <c r="T65">
        <v>108.4</v>
      </c>
      <c r="U65" t="s">
        <v>93</v>
      </c>
      <c r="V65" t="s">
        <v>86</v>
      </c>
      <c r="W65">
        <v>61.1</v>
      </c>
      <c r="X65">
        <v>0.5</v>
      </c>
      <c r="Y65">
        <v>1</v>
      </c>
      <c r="Z65">
        <v>0</v>
      </c>
      <c r="AA65">
        <v>2</v>
      </c>
      <c r="AB65" s="8">
        <f>AC65+Z65</f>
        <v>111.9</v>
      </c>
      <c r="AC65">
        <v>111.9</v>
      </c>
      <c r="AD65" t="s">
        <v>151</v>
      </c>
    </row>
    <row r="66" spans="1:30" x14ac:dyDescent="0.25">
      <c r="A66">
        <v>552</v>
      </c>
      <c r="B66" t="s">
        <v>87</v>
      </c>
      <c r="C66" t="s">
        <v>198</v>
      </c>
      <c r="D66" t="s">
        <v>47</v>
      </c>
      <c r="E66">
        <v>53</v>
      </c>
      <c r="F66">
        <v>82</v>
      </c>
      <c r="G66">
        <v>0</v>
      </c>
      <c r="H66">
        <v>121</v>
      </c>
      <c r="I66">
        <v>127</v>
      </c>
      <c r="J66">
        <v>95.3</v>
      </c>
      <c r="K66" s="2">
        <v>0.41299999999999998</v>
      </c>
      <c r="L66">
        <v>50</v>
      </c>
      <c r="M66">
        <v>71</v>
      </c>
      <c r="N66" s="2">
        <v>0.26100000000000001</v>
      </c>
      <c r="O66" s="2">
        <v>0.246</v>
      </c>
      <c r="P66" s="2">
        <v>0.27700000000000002</v>
      </c>
      <c r="Q66">
        <v>102</v>
      </c>
      <c r="R66">
        <v>98</v>
      </c>
      <c r="S66">
        <v>107</v>
      </c>
      <c r="T66">
        <v>101.8</v>
      </c>
      <c r="U66" t="s">
        <v>32</v>
      </c>
      <c r="V66" t="s">
        <v>33</v>
      </c>
      <c r="W66">
        <v>100</v>
      </c>
      <c r="X66">
        <v>2.5</v>
      </c>
      <c r="Y66">
        <v>5</v>
      </c>
      <c r="Z66">
        <v>0</v>
      </c>
      <c r="AA66">
        <v>2</v>
      </c>
      <c r="AB66" s="8">
        <f>AC66+Z66</f>
        <v>111.3</v>
      </c>
      <c r="AC66">
        <v>111.3</v>
      </c>
      <c r="AD66" t="s">
        <v>203</v>
      </c>
    </row>
    <row r="67" spans="1:30" x14ac:dyDescent="0.25">
      <c r="A67">
        <v>529</v>
      </c>
      <c r="B67" t="s">
        <v>204</v>
      </c>
      <c r="C67" t="s">
        <v>205</v>
      </c>
      <c r="D67" t="s">
        <v>47</v>
      </c>
      <c r="E67">
        <v>65</v>
      </c>
      <c r="F67">
        <v>90</v>
      </c>
      <c r="G67">
        <v>0</v>
      </c>
      <c r="H67">
        <v>132</v>
      </c>
      <c r="I67">
        <v>146</v>
      </c>
      <c r="J67">
        <v>90.4</v>
      </c>
      <c r="K67" s="2">
        <v>0.52700000000000002</v>
      </c>
      <c r="L67">
        <v>69</v>
      </c>
      <c r="M67">
        <v>62</v>
      </c>
      <c r="N67" s="2">
        <v>0.28399999999999997</v>
      </c>
      <c r="O67" s="2">
        <v>0.23400000000000001</v>
      </c>
      <c r="P67" s="2">
        <v>0.27200000000000002</v>
      </c>
      <c r="Q67">
        <v>111</v>
      </c>
      <c r="R67">
        <v>93</v>
      </c>
      <c r="S67">
        <v>105</v>
      </c>
      <c r="T67">
        <v>104.5</v>
      </c>
      <c r="U67" t="s">
        <v>32</v>
      </c>
      <c r="V67" t="s">
        <v>33</v>
      </c>
      <c r="W67">
        <v>100</v>
      </c>
      <c r="X67">
        <v>2.5</v>
      </c>
      <c r="Y67">
        <v>1</v>
      </c>
      <c r="Z67">
        <v>0</v>
      </c>
      <c r="AA67">
        <v>2</v>
      </c>
      <c r="AB67" s="8">
        <f>AC67+Z67</f>
        <v>110</v>
      </c>
      <c r="AC67">
        <v>110</v>
      </c>
      <c r="AD67" t="s">
        <v>206</v>
      </c>
    </row>
    <row r="68" spans="1:30" x14ac:dyDescent="0.25">
      <c r="A68">
        <v>369</v>
      </c>
      <c r="B68" t="s">
        <v>114</v>
      </c>
      <c r="C68" t="s">
        <v>207</v>
      </c>
      <c r="D68" t="s">
        <v>136</v>
      </c>
      <c r="E68">
        <v>66</v>
      </c>
      <c r="F68">
        <v>88</v>
      </c>
      <c r="G68">
        <v>3</v>
      </c>
      <c r="H68">
        <v>292</v>
      </c>
      <c r="I68">
        <v>356</v>
      </c>
      <c r="J68">
        <v>82</v>
      </c>
      <c r="K68" s="2">
        <v>0.442</v>
      </c>
      <c r="L68">
        <v>129</v>
      </c>
      <c r="M68">
        <v>163</v>
      </c>
      <c r="N68" s="2">
        <v>0.28199999999999997</v>
      </c>
      <c r="O68" s="2">
        <v>0.27900000000000003</v>
      </c>
      <c r="P68" s="2">
        <v>0.214</v>
      </c>
      <c r="Q68">
        <v>110</v>
      </c>
      <c r="R68">
        <v>111</v>
      </c>
      <c r="S68">
        <v>83</v>
      </c>
      <c r="T68">
        <v>105.1</v>
      </c>
      <c r="U68" t="s">
        <v>32</v>
      </c>
      <c r="V68" t="s">
        <v>33</v>
      </c>
      <c r="W68">
        <v>100</v>
      </c>
      <c r="X68">
        <v>2</v>
      </c>
      <c r="Y68">
        <v>1</v>
      </c>
      <c r="Z68">
        <v>0</v>
      </c>
      <c r="AA68">
        <v>1</v>
      </c>
      <c r="AB68" s="8">
        <f>AC68+Z68</f>
        <v>109.1</v>
      </c>
      <c r="AC68">
        <v>109.1</v>
      </c>
    </row>
    <row r="69" spans="1:30" s="5" customFormat="1" x14ac:dyDescent="0.25">
      <c r="A69">
        <v>506</v>
      </c>
      <c r="B69" t="s">
        <v>45</v>
      </c>
      <c r="C69" t="s">
        <v>213</v>
      </c>
      <c r="D69" t="s">
        <v>143</v>
      </c>
      <c r="E69">
        <v>62</v>
      </c>
      <c r="F69">
        <v>78</v>
      </c>
      <c r="G69">
        <v>0</v>
      </c>
      <c r="H69">
        <v>103</v>
      </c>
      <c r="I69">
        <v>147</v>
      </c>
      <c r="J69">
        <v>70.099999999999994</v>
      </c>
      <c r="K69" s="2">
        <v>0.82499999999999996</v>
      </c>
      <c r="L69">
        <v>85</v>
      </c>
      <c r="M69">
        <v>18</v>
      </c>
      <c r="N69" s="2">
        <v>0.26100000000000001</v>
      </c>
      <c r="O69"/>
      <c r="P69" s="2">
        <v>0.27300000000000002</v>
      </c>
      <c r="Q69">
        <v>102</v>
      </c>
      <c r="R69"/>
      <c r="S69">
        <v>105</v>
      </c>
      <c r="T69">
        <v>103.5</v>
      </c>
      <c r="U69" t="s">
        <v>56</v>
      </c>
      <c r="V69" t="s">
        <v>33</v>
      </c>
      <c r="W69">
        <v>100</v>
      </c>
      <c r="X69">
        <v>1.5</v>
      </c>
      <c r="Y69">
        <v>3</v>
      </c>
      <c r="Z69">
        <v>1</v>
      </c>
      <c r="AA69">
        <v>0</v>
      </c>
      <c r="AB69" s="8">
        <f>AC69+Z69</f>
        <v>109</v>
      </c>
      <c r="AC69">
        <v>108</v>
      </c>
      <c r="AD69" t="s">
        <v>214</v>
      </c>
    </row>
    <row r="70" spans="1:30" x14ac:dyDescent="0.25">
      <c r="A70">
        <v>494</v>
      </c>
      <c r="B70" t="s">
        <v>137</v>
      </c>
      <c r="C70" t="s">
        <v>138</v>
      </c>
      <c r="D70" t="s">
        <v>139</v>
      </c>
      <c r="E70">
        <v>57</v>
      </c>
      <c r="F70">
        <v>80</v>
      </c>
      <c r="G70">
        <v>4</v>
      </c>
      <c r="H70">
        <v>131</v>
      </c>
      <c r="I70">
        <v>165</v>
      </c>
      <c r="J70">
        <v>79.400000000000006</v>
      </c>
      <c r="K70" s="2">
        <v>0.41199999999999998</v>
      </c>
      <c r="L70">
        <v>54</v>
      </c>
      <c r="M70">
        <v>77</v>
      </c>
      <c r="N70" s="2">
        <v>0.27800000000000002</v>
      </c>
      <c r="O70" s="2">
        <v>0.27800000000000002</v>
      </c>
      <c r="P70" s="2">
        <v>0.33600000000000002</v>
      </c>
      <c r="Q70">
        <v>109</v>
      </c>
      <c r="R70">
        <v>111</v>
      </c>
      <c r="S70">
        <v>130</v>
      </c>
      <c r="T70">
        <v>113.4</v>
      </c>
      <c r="U70" t="s">
        <v>32</v>
      </c>
      <c r="V70" t="s">
        <v>33</v>
      </c>
      <c r="W70">
        <v>100</v>
      </c>
      <c r="X70">
        <v>0.5</v>
      </c>
      <c r="Y70">
        <v>5</v>
      </c>
      <c r="Z70">
        <v>-10</v>
      </c>
      <c r="AA70">
        <v>0</v>
      </c>
      <c r="AB70" s="8">
        <f>AC70+Z70</f>
        <v>108.9</v>
      </c>
      <c r="AC70">
        <v>118.9</v>
      </c>
      <c r="AD70" t="s">
        <v>140</v>
      </c>
    </row>
    <row r="71" spans="1:30" x14ac:dyDescent="0.25">
      <c r="A71">
        <v>283</v>
      </c>
      <c r="B71" t="s">
        <v>208</v>
      </c>
      <c r="C71" t="s">
        <v>209</v>
      </c>
      <c r="D71" t="s">
        <v>47</v>
      </c>
      <c r="E71">
        <v>63</v>
      </c>
      <c r="F71">
        <v>0</v>
      </c>
      <c r="G71">
        <v>0</v>
      </c>
      <c r="H71">
        <v>127</v>
      </c>
      <c r="I71">
        <v>192</v>
      </c>
      <c r="J71">
        <v>66.099999999999994</v>
      </c>
      <c r="K71" s="2">
        <v>0.41699999999999998</v>
      </c>
      <c r="L71">
        <v>53</v>
      </c>
      <c r="M71">
        <v>74</v>
      </c>
      <c r="N71" s="2">
        <v>0</v>
      </c>
      <c r="P71" s="2">
        <v>0.252</v>
      </c>
      <c r="Q71">
        <v>0</v>
      </c>
      <c r="S71">
        <v>97</v>
      </c>
      <c r="T71">
        <v>105.3</v>
      </c>
      <c r="U71" t="s">
        <v>43</v>
      </c>
      <c r="V71" t="s">
        <v>33</v>
      </c>
      <c r="W71">
        <v>100</v>
      </c>
      <c r="X71">
        <v>2.5</v>
      </c>
      <c r="Y71">
        <v>3</v>
      </c>
      <c r="Z71">
        <v>0</v>
      </c>
      <c r="AA71">
        <v>-2</v>
      </c>
      <c r="AB71" s="8">
        <f>AC71+Z71</f>
        <v>108.8</v>
      </c>
      <c r="AC71">
        <v>108.8</v>
      </c>
      <c r="AD71" t="s">
        <v>210</v>
      </c>
    </row>
    <row r="72" spans="1:30" s="5" customFormat="1" x14ac:dyDescent="0.25">
      <c r="A72">
        <v>609</v>
      </c>
      <c r="B72" t="s">
        <v>29</v>
      </c>
      <c r="C72" t="s">
        <v>211</v>
      </c>
      <c r="D72" t="s">
        <v>37</v>
      </c>
      <c r="E72">
        <v>61</v>
      </c>
      <c r="F72">
        <v>77</v>
      </c>
      <c r="G72">
        <v>10</v>
      </c>
      <c r="H72">
        <v>22</v>
      </c>
      <c r="I72">
        <v>22</v>
      </c>
      <c r="J72">
        <v>100</v>
      </c>
      <c r="K72" s="2">
        <v>0.40899999999999997</v>
      </c>
      <c r="L72">
        <v>9</v>
      </c>
      <c r="M72">
        <v>13</v>
      </c>
      <c r="N72" s="2">
        <v>0.254</v>
      </c>
      <c r="O72"/>
      <c r="P72"/>
      <c r="Q72">
        <v>99</v>
      </c>
      <c r="R72"/>
      <c r="S72"/>
      <c r="T72">
        <v>99.5</v>
      </c>
      <c r="U72" t="s">
        <v>85</v>
      </c>
      <c r="V72" t="s">
        <v>86</v>
      </c>
      <c r="W72">
        <v>69.099999999999994</v>
      </c>
      <c r="X72">
        <v>4</v>
      </c>
      <c r="Y72">
        <v>3</v>
      </c>
      <c r="Z72">
        <v>0</v>
      </c>
      <c r="AA72">
        <v>2</v>
      </c>
      <c r="AB72" s="8">
        <f>AC72+Z72</f>
        <v>108.5</v>
      </c>
      <c r="AC72">
        <v>108.5</v>
      </c>
      <c r="AD72" t="s">
        <v>212</v>
      </c>
    </row>
    <row r="73" spans="1:30" s="5" customFormat="1" x14ac:dyDescent="0.25">
      <c r="A73"/>
      <c r="B73" t="s">
        <v>123</v>
      </c>
      <c r="C73" t="s">
        <v>402</v>
      </c>
      <c r="D73" t="s">
        <v>37</v>
      </c>
      <c r="E73"/>
      <c r="F73" t="s">
        <v>396</v>
      </c>
      <c r="G73" t="s">
        <v>396</v>
      </c>
      <c r="H73">
        <v>0</v>
      </c>
      <c r="I73">
        <v>0</v>
      </c>
      <c r="J73"/>
      <c r="K73"/>
      <c r="L73">
        <v>0</v>
      </c>
      <c r="M73">
        <v>0</v>
      </c>
      <c r="N73" t="s">
        <v>396</v>
      </c>
      <c r="O73"/>
      <c r="P73"/>
      <c r="Q73"/>
      <c r="R73"/>
      <c r="S73"/>
      <c r="T73"/>
      <c r="U73"/>
      <c r="V73" t="s">
        <v>94</v>
      </c>
      <c r="W73">
        <v>0</v>
      </c>
      <c r="X73">
        <v>4</v>
      </c>
      <c r="Y73">
        <v>0</v>
      </c>
      <c r="Z73">
        <v>108</v>
      </c>
      <c r="AA73">
        <v>0</v>
      </c>
      <c r="AB73" s="8">
        <f>AC73+Z73</f>
        <v>108</v>
      </c>
      <c r="AC73"/>
      <c r="AD73" t="s">
        <v>403</v>
      </c>
    </row>
    <row r="74" spans="1:30" x14ac:dyDescent="0.25">
      <c r="A74">
        <v>511</v>
      </c>
      <c r="B74" t="s">
        <v>215</v>
      </c>
      <c r="C74" t="s">
        <v>216</v>
      </c>
      <c r="D74" t="s">
        <v>139</v>
      </c>
      <c r="E74">
        <v>63</v>
      </c>
      <c r="F74">
        <v>76</v>
      </c>
      <c r="G74">
        <v>3</v>
      </c>
      <c r="H74">
        <v>77</v>
      </c>
      <c r="I74">
        <v>110</v>
      </c>
      <c r="J74">
        <v>70</v>
      </c>
      <c r="K74" s="2">
        <v>0.53200000000000003</v>
      </c>
      <c r="L74">
        <v>41</v>
      </c>
      <c r="M74">
        <v>36</v>
      </c>
      <c r="N74" s="2">
        <v>0.25600000000000001</v>
      </c>
      <c r="P74" s="2">
        <v>0.29099999999999998</v>
      </c>
      <c r="Q74">
        <v>100</v>
      </c>
      <c r="S74">
        <v>112</v>
      </c>
      <c r="T74">
        <v>104.3</v>
      </c>
      <c r="U74" t="s">
        <v>56</v>
      </c>
      <c r="V74" t="s">
        <v>33</v>
      </c>
      <c r="W74">
        <v>100</v>
      </c>
      <c r="X74">
        <v>0.5</v>
      </c>
      <c r="Y74">
        <v>3</v>
      </c>
      <c r="Z74">
        <v>0</v>
      </c>
      <c r="AA74">
        <v>0</v>
      </c>
      <c r="AB74" s="8">
        <f>AC74+Z74</f>
        <v>107.8</v>
      </c>
      <c r="AC74">
        <v>107.8</v>
      </c>
      <c r="AD74" t="s">
        <v>217</v>
      </c>
    </row>
    <row r="75" spans="1:30" x14ac:dyDescent="0.25">
      <c r="A75" s="5">
        <v>286</v>
      </c>
      <c r="B75" s="5" t="s">
        <v>218</v>
      </c>
      <c r="C75" s="5" t="s">
        <v>219</v>
      </c>
      <c r="D75" s="5" t="s">
        <v>139</v>
      </c>
      <c r="E75" s="5">
        <v>65</v>
      </c>
      <c r="F75" s="5">
        <v>74</v>
      </c>
      <c r="G75" s="5">
        <v>2</v>
      </c>
      <c r="H75" s="5">
        <v>297</v>
      </c>
      <c r="I75" s="5">
        <v>349</v>
      </c>
      <c r="J75" s="5">
        <v>85.1</v>
      </c>
      <c r="K75" s="6">
        <v>0.48499999999999999</v>
      </c>
      <c r="L75" s="5">
        <v>143</v>
      </c>
      <c r="M75" s="5">
        <v>152</v>
      </c>
      <c r="N75" s="6">
        <v>0.29199999999999998</v>
      </c>
      <c r="O75" s="5"/>
      <c r="P75" s="6">
        <v>0.24299999999999999</v>
      </c>
      <c r="Q75" s="5">
        <v>114</v>
      </c>
      <c r="R75" s="5"/>
      <c r="S75" s="5">
        <v>94</v>
      </c>
      <c r="T75" s="5">
        <v>105</v>
      </c>
      <c r="U75" s="5" t="s">
        <v>56</v>
      </c>
      <c r="V75" s="5" t="s">
        <v>33</v>
      </c>
      <c r="W75" s="5">
        <v>100</v>
      </c>
      <c r="X75" s="5">
        <v>0.5</v>
      </c>
      <c r="Y75" s="5">
        <v>1</v>
      </c>
      <c r="Z75" s="5">
        <v>0</v>
      </c>
      <c r="AA75" s="5">
        <v>1</v>
      </c>
      <c r="AB75" s="5">
        <f>AC75+Z75</f>
        <v>107.5</v>
      </c>
      <c r="AC75" s="5">
        <v>107.5</v>
      </c>
      <c r="AD75" s="5" t="s">
        <v>220</v>
      </c>
    </row>
    <row r="76" spans="1:30" x14ac:dyDescent="0.25">
      <c r="B76" t="s">
        <v>215</v>
      </c>
      <c r="C76" t="s">
        <v>404</v>
      </c>
      <c r="D76" t="s">
        <v>31</v>
      </c>
      <c r="F76" t="s">
        <v>396</v>
      </c>
      <c r="G76" t="s">
        <v>396</v>
      </c>
      <c r="H76">
        <v>0</v>
      </c>
      <c r="I76">
        <v>0</v>
      </c>
      <c r="L76">
        <v>0</v>
      </c>
      <c r="M76">
        <v>0</v>
      </c>
      <c r="N76" t="s">
        <v>396</v>
      </c>
      <c r="V76" t="s">
        <v>94</v>
      </c>
      <c r="W76">
        <v>0</v>
      </c>
      <c r="X76">
        <v>1.5</v>
      </c>
      <c r="Y76">
        <v>0</v>
      </c>
      <c r="Z76">
        <v>107</v>
      </c>
      <c r="AA76">
        <v>0</v>
      </c>
      <c r="AB76" s="8">
        <f>AC76+Z76</f>
        <v>107</v>
      </c>
      <c r="AD76" t="s">
        <v>405</v>
      </c>
    </row>
    <row r="77" spans="1:30" x14ac:dyDescent="0.25">
      <c r="A77">
        <v>342</v>
      </c>
      <c r="B77" t="s">
        <v>221</v>
      </c>
      <c r="C77" t="s">
        <v>222</v>
      </c>
      <c r="D77" t="s">
        <v>31</v>
      </c>
      <c r="E77">
        <v>56</v>
      </c>
      <c r="F77">
        <v>93</v>
      </c>
      <c r="G77">
        <v>1</v>
      </c>
      <c r="H77">
        <v>386</v>
      </c>
      <c r="I77">
        <v>408</v>
      </c>
      <c r="J77">
        <v>94.6</v>
      </c>
      <c r="K77" s="2">
        <v>0.436</v>
      </c>
      <c r="L77">
        <v>180</v>
      </c>
      <c r="M77">
        <v>233</v>
      </c>
      <c r="N77" s="2">
        <v>0.26400000000000001</v>
      </c>
      <c r="O77" s="2">
        <v>0.19700000000000001</v>
      </c>
      <c r="P77" s="2">
        <v>0.28199999999999997</v>
      </c>
      <c r="Q77">
        <v>103</v>
      </c>
      <c r="R77">
        <v>78</v>
      </c>
      <c r="S77">
        <v>109</v>
      </c>
      <c r="T77">
        <v>97</v>
      </c>
      <c r="U77" t="s">
        <v>32</v>
      </c>
      <c r="V77" t="s">
        <v>33</v>
      </c>
      <c r="W77">
        <v>100</v>
      </c>
      <c r="X77">
        <v>3.5</v>
      </c>
      <c r="Y77">
        <v>5</v>
      </c>
      <c r="Z77">
        <v>-1</v>
      </c>
      <c r="AA77">
        <v>2</v>
      </c>
      <c r="AB77" s="8">
        <f>AC77+Z77</f>
        <v>106.5</v>
      </c>
      <c r="AC77">
        <v>107.5</v>
      </c>
    </row>
    <row r="78" spans="1:30" s="5" customFormat="1" x14ac:dyDescent="0.25">
      <c r="A78">
        <v>76</v>
      </c>
      <c r="B78" t="s">
        <v>66</v>
      </c>
      <c r="C78" t="s">
        <v>236</v>
      </c>
      <c r="D78" t="s">
        <v>139</v>
      </c>
      <c r="E78">
        <v>69</v>
      </c>
      <c r="F78">
        <v>25</v>
      </c>
      <c r="G78">
        <v>0</v>
      </c>
      <c r="H78">
        <v>235</v>
      </c>
      <c r="I78">
        <v>332</v>
      </c>
      <c r="J78">
        <v>70.8</v>
      </c>
      <c r="K78" s="2">
        <v>0.55700000000000005</v>
      </c>
      <c r="L78">
        <v>214</v>
      </c>
      <c r="M78">
        <v>170</v>
      </c>
      <c r="N78" s="2">
        <v>0.223</v>
      </c>
      <c r="O78" s="2">
        <v>0.31</v>
      </c>
      <c r="P78" s="2">
        <v>0.30099999999999999</v>
      </c>
      <c r="Q78">
        <v>87</v>
      </c>
      <c r="R78">
        <v>124</v>
      </c>
      <c r="S78">
        <v>116</v>
      </c>
      <c r="T78">
        <v>103.9</v>
      </c>
      <c r="U78" t="s">
        <v>32</v>
      </c>
      <c r="V78" t="s">
        <v>33</v>
      </c>
      <c r="W78">
        <v>90</v>
      </c>
      <c r="X78">
        <v>0.5</v>
      </c>
      <c r="Y78">
        <v>1</v>
      </c>
      <c r="Z78">
        <v>1</v>
      </c>
      <c r="AA78">
        <v>0</v>
      </c>
      <c r="AB78" s="8">
        <f>AC78+Z78</f>
        <v>106.4</v>
      </c>
      <c r="AC78">
        <v>105.4</v>
      </c>
      <c r="AD78" t="s">
        <v>237</v>
      </c>
    </row>
    <row r="79" spans="1:30" x14ac:dyDescent="0.25">
      <c r="A79">
        <v>522</v>
      </c>
      <c r="B79" t="s">
        <v>54</v>
      </c>
      <c r="C79" t="s">
        <v>223</v>
      </c>
      <c r="D79" t="s">
        <v>47</v>
      </c>
      <c r="E79">
        <v>72</v>
      </c>
      <c r="F79">
        <v>86</v>
      </c>
      <c r="G79">
        <v>0</v>
      </c>
      <c r="H79">
        <v>138</v>
      </c>
      <c r="I79">
        <v>161</v>
      </c>
      <c r="J79">
        <v>85.7</v>
      </c>
      <c r="K79" s="2">
        <v>0.44900000000000001</v>
      </c>
      <c r="L79">
        <v>62</v>
      </c>
      <c r="M79">
        <v>76</v>
      </c>
      <c r="N79" s="2">
        <v>0.27400000000000002</v>
      </c>
      <c r="O79" s="2">
        <v>0.23799999999999999</v>
      </c>
      <c r="P79" s="2">
        <v>0.26700000000000002</v>
      </c>
      <c r="Q79">
        <v>107</v>
      </c>
      <c r="R79">
        <v>95</v>
      </c>
      <c r="S79">
        <v>103</v>
      </c>
      <c r="T79">
        <v>102.7</v>
      </c>
      <c r="U79" t="s">
        <v>32</v>
      </c>
      <c r="V79" t="s">
        <v>33</v>
      </c>
      <c r="W79">
        <v>100</v>
      </c>
      <c r="X79">
        <v>2.5</v>
      </c>
      <c r="Y79">
        <v>0</v>
      </c>
      <c r="Z79">
        <v>0</v>
      </c>
      <c r="AA79">
        <v>1</v>
      </c>
      <c r="AB79" s="8">
        <f>AC79+Z79</f>
        <v>106.2</v>
      </c>
      <c r="AC79">
        <v>106.2</v>
      </c>
      <c r="AD79" t="s">
        <v>224</v>
      </c>
    </row>
    <row r="80" spans="1:30" x14ac:dyDescent="0.25">
      <c r="B80" t="s">
        <v>158</v>
      </c>
      <c r="C80" t="s">
        <v>395</v>
      </c>
      <c r="D80" t="s">
        <v>47</v>
      </c>
      <c r="F80" t="s">
        <v>396</v>
      </c>
      <c r="G80" t="s">
        <v>396</v>
      </c>
      <c r="H80">
        <v>0</v>
      </c>
      <c r="I80">
        <v>0</v>
      </c>
      <c r="L80">
        <v>0</v>
      </c>
      <c r="M80">
        <v>0</v>
      </c>
      <c r="N80" t="s">
        <v>396</v>
      </c>
      <c r="V80" t="s">
        <v>94</v>
      </c>
      <c r="W80">
        <v>0</v>
      </c>
      <c r="X80">
        <v>2.5</v>
      </c>
      <c r="Y80">
        <v>0</v>
      </c>
      <c r="Z80">
        <v>106</v>
      </c>
      <c r="AA80">
        <v>0</v>
      </c>
      <c r="AB80" s="8">
        <f>AC80+Z80</f>
        <v>106</v>
      </c>
      <c r="AD80" t="s">
        <v>151</v>
      </c>
    </row>
    <row r="81" spans="1:30" x14ac:dyDescent="0.25">
      <c r="A81" s="5">
        <v>401</v>
      </c>
      <c r="B81" s="5" t="s">
        <v>225</v>
      </c>
      <c r="C81" s="5" t="s">
        <v>226</v>
      </c>
      <c r="D81" s="5" t="s">
        <v>42</v>
      </c>
      <c r="E81" s="5">
        <v>63</v>
      </c>
      <c r="F81" s="5">
        <v>91</v>
      </c>
      <c r="G81" s="5">
        <v>2</v>
      </c>
      <c r="H81" s="5">
        <v>291</v>
      </c>
      <c r="I81" s="5">
        <v>309</v>
      </c>
      <c r="J81" s="5">
        <v>94.2</v>
      </c>
      <c r="K81" s="6">
        <v>0.505</v>
      </c>
      <c r="L81" s="5">
        <v>147</v>
      </c>
      <c r="M81" s="5">
        <v>144</v>
      </c>
      <c r="N81" s="6">
        <v>0.28599999999999998</v>
      </c>
      <c r="O81" s="6">
        <v>0.22</v>
      </c>
      <c r="P81" s="6">
        <v>0.23100000000000001</v>
      </c>
      <c r="Q81" s="5">
        <v>112</v>
      </c>
      <c r="R81" s="5">
        <v>88</v>
      </c>
      <c r="S81" s="5">
        <v>89</v>
      </c>
      <c r="T81" s="5">
        <v>99.9</v>
      </c>
      <c r="U81" s="5" t="s">
        <v>32</v>
      </c>
      <c r="V81" s="5" t="s">
        <v>33</v>
      </c>
      <c r="W81" s="5">
        <v>100</v>
      </c>
      <c r="X81" s="5">
        <v>1</v>
      </c>
      <c r="Y81" s="5">
        <v>3</v>
      </c>
      <c r="Z81" s="5">
        <v>0</v>
      </c>
      <c r="AA81" s="5">
        <v>2</v>
      </c>
      <c r="AB81" s="5">
        <f>AC81+Z81</f>
        <v>105.9</v>
      </c>
      <c r="AC81" s="5">
        <v>105.9</v>
      </c>
      <c r="AD81" s="5"/>
    </row>
    <row r="82" spans="1:30" x14ac:dyDescent="0.25">
      <c r="A82" s="5">
        <v>488</v>
      </c>
      <c r="B82" s="5" t="s">
        <v>158</v>
      </c>
      <c r="C82" s="5" t="s">
        <v>227</v>
      </c>
      <c r="D82" s="5" t="s">
        <v>92</v>
      </c>
      <c r="E82" s="5">
        <v>59</v>
      </c>
      <c r="F82" s="5">
        <v>69</v>
      </c>
      <c r="G82" s="5">
        <v>6</v>
      </c>
      <c r="H82" s="5">
        <v>125</v>
      </c>
      <c r="I82" s="5">
        <v>149</v>
      </c>
      <c r="J82" s="5">
        <v>83.9</v>
      </c>
      <c r="K82" s="6">
        <v>0.60799999999999998</v>
      </c>
      <c r="L82" s="5">
        <v>76</v>
      </c>
      <c r="M82" s="5">
        <v>49</v>
      </c>
      <c r="N82" s="6">
        <v>0.222</v>
      </c>
      <c r="O82" s="6">
        <v>0.25700000000000001</v>
      </c>
      <c r="P82" s="6">
        <v>0.31</v>
      </c>
      <c r="Q82" s="5">
        <v>87</v>
      </c>
      <c r="R82" s="5">
        <v>102</v>
      </c>
      <c r="S82" s="5">
        <v>120</v>
      </c>
      <c r="T82" s="5">
        <v>98.1</v>
      </c>
      <c r="U82" s="5" t="s">
        <v>32</v>
      </c>
      <c r="V82" s="5" t="s">
        <v>33</v>
      </c>
      <c r="W82" s="5">
        <v>100</v>
      </c>
      <c r="X82" s="5">
        <v>1.5</v>
      </c>
      <c r="Y82" s="5">
        <v>5</v>
      </c>
      <c r="Z82" s="5">
        <v>0</v>
      </c>
      <c r="AA82" s="5">
        <v>1</v>
      </c>
      <c r="AB82" s="5">
        <f>AC82+Z82</f>
        <v>105.6</v>
      </c>
      <c r="AC82" s="5">
        <v>105.6</v>
      </c>
      <c r="AD82" s="5" t="s">
        <v>151</v>
      </c>
    </row>
    <row r="83" spans="1:30" x14ac:dyDescent="0.25">
      <c r="A83">
        <v>280</v>
      </c>
      <c r="B83" t="s">
        <v>51</v>
      </c>
      <c r="C83" t="s">
        <v>228</v>
      </c>
      <c r="D83" t="s">
        <v>71</v>
      </c>
      <c r="E83">
        <v>64</v>
      </c>
      <c r="F83">
        <v>36</v>
      </c>
      <c r="G83">
        <v>0</v>
      </c>
      <c r="H83">
        <v>322</v>
      </c>
      <c r="I83">
        <v>384</v>
      </c>
      <c r="J83">
        <v>83.9</v>
      </c>
      <c r="K83" s="2">
        <v>0.57499999999999996</v>
      </c>
      <c r="L83">
        <v>185</v>
      </c>
      <c r="M83">
        <v>137</v>
      </c>
      <c r="N83" s="2">
        <v>0.248</v>
      </c>
      <c r="Q83">
        <v>97</v>
      </c>
      <c r="T83">
        <v>96.5</v>
      </c>
      <c r="U83" t="s">
        <v>229</v>
      </c>
      <c r="V83" t="s">
        <v>33</v>
      </c>
      <c r="W83">
        <v>100</v>
      </c>
      <c r="X83">
        <v>5</v>
      </c>
      <c r="Y83">
        <v>3</v>
      </c>
      <c r="Z83">
        <v>0</v>
      </c>
      <c r="AA83">
        <v>1</v>
      </c>
      <c r="AB83" s="8">
        <f>AC83+Z83</f>
        <v>105.5</v>
      </c>
      <c r="AC83">
        <v>105.5</v>
      </c>
    </row>
    <row r="84" spans="1:30" x14ac:dyDescent="0.25">
      <c r="A84">
        <v>422</v>
      </c>
      <c r="B84" t="s">
        <v>230</v>
      </c>
      <c r="C84" t="s">
        <v>231</v>
      </c>
      <c r="D84" t="s">
        <v>31</v>
      </c>
      <c r="E84">
        <v>62</v>
      </c>
      <c r="F84">
        <v>67</v>
      </c>
      <c r="G84">
        <v>0</v>
      </c>
      <c r="H84">
        <v>271</v>
      </c>
      <c r="I84">
        <v>305</v>
      </c>
      <c r="J84">
        <v>88.9</v>
      </c>
      <c r="K84" s="2">
        <v>0.54200000000000004</v>
      </c>
      <c r="L84">
        <v>147</v>
      </c>
      <c r="M84">
        <v>124</v>
      </c>
      <c r="N84" s="2">
        <v>0.27</v>
      </c>
      <c r="O84" s="2">
        <v>0.24099999999999999</v>
      </c>
      <c r="P84" s="2">
        <v>0.21099999999999999</v>
      </c>
      <c r="Q84">
        <v>106</v>
      </c>
      <c r="R84">
        <v>96</v>
      </c>
      <c r="S84">
        <v>82</v>
      </c>
      <c r="T84">
        <v>97.9</v>
      </c>
      <c r="U84" t="s">
        <v>32</v>
      </c>
      <c r="V84" t="s">
        <v>33</v>
      </c>
      <c r="W84">
        <v>100</v>
      </c>
      <c r="X84">
        <v>3.5</v>
      </c>
      <c r="Y84">
        <v>3</v>
      </c>
      <c r="Z84">
        <v>0</v>
      </c>
      <c r="AA84">
        <v>1</v>
      </c>
      <c r="AB84" s="8">
        <f>AC84+Z84</f>
        <v>105.4</v>
      </c>
      <c r="AC84">
        <v>105.4</v>
      </c>
      <c r="AD84" t="s">
        <v>232</v>
      </c>
    </row>
    <row r="85" spans="1:30" x14ac:dyDescent="0.25">
      <c r="A85">
        <v>614</v>
      </c>
      <c r="B85" t="s">
        <v>233</v>
      </c>
      <c r="C85" t="s">
        <v>234</v>
      </c>
      <c r="D85" t="s">
        <v>92</v>
      </c>
      <c r="E85">
        <v>59</v>
      </c>
      <c r="F85">
        <v>80</v>
      </c>
      <c r="G85">
        <v>1</v>
      </c>
      <c r="H85">
        <v>22</v>
      </c>
      <c r="I85">
        <v>22</v>
      </c>
      <c r="J85">
        <v>100</v>
      </c>
      <c r="K85" s="2">
        <v>0.40899999999999997</v>
      </c>
      <c r="L85">
        <v>9</v>
      </c>
      <c r="M85">
        <v>13</v>
      </c>
      <c r="N85" s="2">
        <v>0.248</v>
      </c>
      <c r="Q85">
        <v>97</v>
      </c>
      <c r="T85">
        <v>96.9</v>
      </c>
      <c r="U85" t="s">
        <v>85</v>
      </c>
      <c r="V85" t="s">
        <v>86</v>
      </c>
      <c r="W85">
        <v>69.099999999999994</v>
      </c>
      <c r="X85">
        <v>1.5</v>
      </c>
      <c r="Y85">
        <v>5</v>
      </c>
      <c r="Z85">
        <v>0</v>
      </c>
      <c r="AA85">
        <v>2</v>
      </c>
      <c r="AB85" s="8">
        <f>AC85+Z85</f>
        <v>105.4</v>
      </c>
      <c r="AC85">
        <v>105.4</v>
      </c>
      <c r="AD85" t="s">
        <v>235</v>
      </c>
    </row>
    <row r="86" spans="1:30" x14ac:dyDescent="0.25">
      <c r="A86" s="5">
        <v>457</v>
      </c>
      <c r="B86" s="5" t="s">
        <v>112</v>
      </c>
      <c r="C86" s="5" t="s">
        <v>238</v>
      </c>
      <c r="D86" s="5" t="s">
        <v>42</v>
      </c>
      <c r="E86" s="5">
        <v>56</v>
      </c>
      <c r="F86" s="5">
        <v>85</v>
      </c>
      <c r="G86" s="5">
        <v>6</v>
      </c>
      <c r="H86" s="5">
        <v>238</v>
      </c>
      <c r="I86" s="5">
        <v>249</v>
      </c>
      <c r="J86" s="5">
        <v>95.6</v>
      </c>
      <c r="K86" s="6">
        <v>0.42</v>
      </c>
      <c r="L86" s="5">
        <v>100</v>
      </c>
      <c r="M86" s="5">
        <v>138</v>
      </c>
      <c r="N86" s="6">
        <v>0.23300000000000001</v>
      </c>
      <c r="O86" s="6">
        <v>0.26</v>
      </c>
      <c r="P86" s="6">
        <v>0.26700000000000002</v>
      </c>
      <c r="Q86" s="5">
        <v>91</v>
      </c>
      <c r="R86" s="5">
        <v>104</v>
      </c>
      <c r="S86" s="5">
        <v>103</v>
      </c>
      <c r="T86" s="5">
        <v>97.3</v>
      </c>
      <c r="U86" s="5" t="s">
        <v>32</v>
      </c>
      <c r="V86" s="5" t="s">
        <v>33</v>
      </c>
      <c r="W86" s="5">
        <v>100</v>
      </c>
      <c r="X86" s="5">
        <v>1</v>
      </c>
      <c r="Y86" s="5">
        <v>5</v>
      </c>
      <c r="Z86" s="5">
        <v>0</v>
      </c>
      <c r="AA86" s="5">
        <v>2</v>
      </c>
      <c r="AB86" s="5">
        <f>AC86+Z86</f>
        <v>105.3</v>
      </c>
      <c r="AC86" s="5">
        <v>105.3</v>
      </c>
      <c r="AD86" s="5"/>
    </row>
    <row r="87" spans="1:30" x14ac:dyDescent="0.25">
      <c r="A87">
        <v>424</v>
      </c>
      <c r="B87" t="s">
        <v>248</v>
      </c>
      <c r="C87" t="s">
        <v>249</v>
      </c>
      <c r="D87" t="s">
        <v>192</v>
      </c>
      <c r="E87">
        <v>63</v>
      </c>
      <c r="F87">
        <v>0</v>
      </c>
      <c r="G87">
        <v>0</v>
      </c>
      <c r="H87">
        <v>22</v>
      </c>
      <c r="I87">
        <v>63</v>
      </c>
      <c r="J87">
        <v>34.9</v>
      </c>
      <c r="K87" s="2">
        <v>0.5</v>
      </c>
      <c r="L87">
        <v>11</v>
      </c>
      <c r="M87">
        <v>11</v>
      </c>
      <c r="N87" s="2">
        <v>0</v>
      </c>
      <c r="P87" s="2">
        <v>0.28100000000000003</v>
      </c>
      <c r="Q87">
        <v>0</v>
      </c>
      <c r="S87">
        <v>109</v>
      </c>
      <c r="T87">
        <v>103.8</v>
      </c>
      <c r="U87" t="s">
        <v>250</v>
      </c>
      <c r="V87" t="s">
        <v>49</v>
      </c>
      <c r="W87">
        <v>82.5</v>
      </c>
      <c r="X87">
        <v>0</v>
      </c>
      <c r="Y87">
        <v>3</v>
      </c>
      <c r="Z87">
        <v>2</v>
      </c>
      <c r="AA87">
        <v>-4</v>
      </c>
      <c r="AB87" s="8">
        <f>AC87+Z87</f>
        <v>104.8</v>
      </c>
      <c r="AC87">
        <v>102.8</v>
      </c>
      <c r="AD87" t="s">
        <v>251</v>
      </c>
    </row>
    <row r="88" spans="1:30" x14ac:dyDescent="0.25">
      <c r="A88">
        <v>573</v>
      </c>
      <c r="B88" t="s">
        <v>137</v>
      </c>
      <c r="C88" t="s">
        <v>239</v>
      </c>
      <c r="D88" t="s">
        <v>37</v>
      </c>
      <c r="E88">
        <v>55</v>
      </c>
      <c r="F88">
        <v>84</v>
      </c>
      <c r="G88">
        <v>2</v>
      </c>
      <c r="H88">
        <v>82</v>
      </c>
      <c r="I88">
        <v>87</v>
      </c>
      <c r="J88">
        <v>94.3</v>
      </c>
      <c r="K88" s="2">
        <v>0.439</v>
      </c>
      <c r="L88">
        <v>36</v>
      </c>
      <c r="M88">
        <v>46</v>
      </c>
      <c r="N88" s="2">
        <v>0.23899999999999999</v>
      </c>
      <c r="O88" s="2">
        <v>0.248</v>
      </c>
      <c r="P88" s="2">
        <v>0.22</v>
      </c>
      <c r="Q88">
        <v>93</v>
      </c>
      <c r="R88">
        <v>99</v>
      </c>
      <c r="S88">
        <v>85</v>
      </c>
      <c r="T88">
        <v>93.4</v>
      </c>
      <c r="U88" t="s">
        <v>32</v>
      </c>
      <c r="V88" t="s">
        <v>33</v>
      </c>
      <c r="W88">
        <v>100</v>
      </c>
      <c r="X88">
        <v>4</v>
      </c>
      <c r="Y88">
        <v>5</v>
      </c>
      <c r="Z88">
        <v>0</v>
      </c>
      <c r="AA88">
        <v>2</v>
      </c>
      <c r="AB88" s="8">
        <f>AC88+Z88</f>
        <v>104.4</v>
      </c>
      <c r="AC88">
        <v>104.4</v>
      </c>
    </row>
    <row r="89" spans="1:30" x14ac:dyDescent="0.25">
      <c r="A89">
        <v>579</v>
      </c>
      <c r="B89" t="s">
        <v>104</v>
      </c>
      <c r="C89" t="s">
        <v>240</v>
      </c>
      <c r="D89" t="s">
        <v>136</v>
      </c>
      <c r="E89">
        <v>60</v>
      </c>
      <c r="F89">
        <v>88</v>
      </c>
      <c r="G89">
        <v>2</v>
      </c>
      <c r="H89">
        <v>58</v>
      </c>
      <c r="I89">
        <v>65</v>
      </c>
      <c r="J89">
        <v>89.2</v>
      </c>
      <c r="K89" s="2">
        <v>0.61399999999999999</v>
      </c>
      <c r="L89">
        <v>35</v>
      </c>
      <c r="M89">
        <v>22</v>
      </c>
      <c r="N89" s="2">
        <v>0.22700000000000001</v>
      </c>
      <c r="O89" s="2">
        <v>0.25600000000000001</v>
      </c>
      <c r="P89" s="2">
        <v>0.30199999999999999</v>
      </c>
      <c r="Q89">
        <v>89</v>
      </c>
      <c r="R89">
        <v>102</v>
      </c>
      <c r="S89">
        <v>117</v>
      </c>
      <c r="T89">
        <v>98.4</v>
      </c>
      <c r="U89" t="s">
        <v>32</v>
      </c>
      <c r="V89" t="s">
        <v>33</v>
      </c>
      <c r="W89">
        <v>100</v>
      </c>
      <c r="X89">
        <v>2</v>
      </c>
      <c r="Y89">
        <v>3</v>
      </c>
      <c r="Z89">
        <v>0</v>
      </c>
      <c r="AA89">
        <v>1</v>
      </c>
      <c r="AB89" s="8">
        <f>AC89+Z89</f>
        <v>104.4</v>
      </c>
      <c r="AC89">
        <v>104.4</v>
      </c>
    </row>
    <row r="90" spans="1:30" x14ac:dyDescent="0.25">
      <c r="A90">
        <v>483</v>
      </c>
      <c r="B90" t="s">
        <v>245</v>
      </c>
      <c r="C90" t="s">
        <v>246</v>
      </c>
      <c r="D90" t="s">
        <v>139</v>
      </c>
      <c r="E90">
        <v>67</v>
      </c>
      <c r="F90">
        <v>86</v>
      </c>
      <c r="G90">
        <v>1</v>
      </c>
      <c r="H90">
        <v>164</v>
      </c>
      <c r="I90">
        <v>184</v>
      </c>
      <c r="J90">
        <v>89.1</v>
      </c>
      <c r="K90" s="2">
        <v>0.5</v>
      </c>
      <c r="L90">
        <v>82</v>
      </c>
      <c r="M90">
        <v>82</v>
      </c>
      <c r="N90" s="2">
        <v>0.24299999999999999</v>
      </c>
      <c r="O90" s="2">
        <v>0.27500000000000002</v>
      </c>
      <c r="P90" s="2">
        <v>0.27300000000000002</v>
      </c>
      <c r="Q90">
        <v>95</v>
      </c>
      <c r="R90">
        <v>110</v>
      </c>
      <c r="S90">
        <v>105</v>
      </c>
      <c r="T90">
        <v>101.5</v>
      </c>
      <c r="U90" t="s">
        <v>32</v>
      </c>
      <c r="V90" t="s">
        <v>33</v>
      </c>
      <c r="W90">
        <v>100</v>
      </c>
      <c r="X90">
        <v>0.5</v>
      </c>
      <c r="Y90">
        <v>1</v>
      </c>
      <c r="Z90">
        <v>-1</v>
      </c>
      <c r="AA90">
        <v>1</v>
      </c>
      <c r="AB90" s="8">
        <f>AC90+Z90</f>
        <v>103</v>
      </c>
      <c r="AC90">
        <v>104</v>
      </c>
      <c r="AD90" t="s">
        <v>247</v>
      </c>
    </row>
    <row r="91" spans="1:30" x14ac:dyDescent="0.25">
      <c r="A91">
        <v>452</v>
      </c>
      <c r="B91" t="s">
        <v>46</v>
      </c>
      <c r="C91" t="s">
        <v>255</v>
      </c>
      <c r="D91" t="s">
        <v>47</v>
      </c>
      <c r="E91">
        <v>70</v>
      </c>
      <c r="F91">
        <v>0</v>
      </c>
      <c r="G91">
        <v>0</v>
      </c>
      <c r="H91">
        <v>120</v>
      </c>
      <c r="I91">
        <v>170</v>
      </c>
      <c r="J91">
        <v>70.599999999999994</v>
      </c>
      <c r="K91" s="2">
        <v>0.40799999999999997</v>
      </c>
      <c r="L91">
        <v>49</v>
      </c>
      <c r="M91">
        <v>71</v>
      </c>
      <c r="N91" s="2">
        <v>0</v>
      </c>
      <c r="O91" s="2">
        <v>0.214</v>
      </c>
      <c r="P91" s="2">
        <v>0.30399999999999999</v>
      </c>
      <c r="Q91">
        <v>0</v>
      </c>
      <c r="R91">
        <v>85</v>
      </c>
      <c r="S91">
        <v>117</v>
      </c>
      <c r="T91">
        <v>100</v>
      </c>
      <c r="U91" t="s">
        <v>176</v>
      </c>
      <c r="V91" t="s">
        <v>33</v>
      </c>
      <c r="W91">
        <v>92</v>
      </c>
      <c r="X91">
        <v>2.5</v>
      </c>
      <c r="Y91">
        <v>0</v>
      </c>
      <c r="Z91">
        <v>0</v>
      </c>
      <c r="AA91">
        <v>0</v>
      </c>
      <c r="AB91" s="8">
        <f>AC91+Z91</f>
        <v>102.5</v>
      </c>
      <c r="AC91">
        <v>102.5</v>
      </c>
      <c r="AD91" t="s">
        <v>256</v>
      </c>
    </row>
    <row r="92" spans="1:30" x14ac:dyDescent="0.25">
      <c r="A92">
        <v>517</v>
      </c>
      <c r="B92" t="s">
        <v>215</v>
      </c>
      <c r="C92" t="s">
        <v>257</v>
      </c>
      <c r="D92" t="s">
        <v>77</v>
      </c>
      <c r="E92">
        <v>70</v>
      </c>
      <c r="F92">
        <v>78</v>
      </c>
      <c r="G92">
        <v>0</v>
      </c>
      <c r="H92">
        <v>147</v>
      </c>
      <c r="I92">
        <v>163</v>
      </c>
      <c r="J92">
        <v>90.2</v>
      </c>
      <c r="K92" s="2">
        <v>0.61199999999999999</v>
      </c>
      <c r="L92">
        <v>90</v>
      </c>
      <c r="M92">
        <v>57</v>
      </c>
      <c r="N92" s="2">
        <v>0.253</v>
      </c>
      <c r="O92" s="2">
        <v>0.21299999999999999</v>
      </c>
      <c r="P92" s="2">
        <v>0.27600000000000002</v>
      </c>
      <c r="Q92">
        <v>99</v>
      </c>
      <c r="R92">
        <v>85</v>
      </c>
      <c r="S92">
        <v>107</v>
      </c>
      <c r="T92">
        <v>96.4</v>
      </c>
      <c r="U92" t="s">
        <v>32</v>
      </c>
      <c r="V92" t="s">
        <v>33</v>
      </c>
      <c r="W92">
        <v>100</v>
      </c>
      <c r="X92">
        <v>4</v>
      </c>
      <c r="Y92">
        <v>0</v>
      </c>
      <c r="Z92">
        <v>0</v>
      </c>
      <c r="AA92">
        <v>2</v>
      </c>
      <c r="AB92" s="8">
        <f>AC92+Z92</f>
        <v>102.4</v>
      </c>
      <c r="AC92">
        <v>102.4</v>
      </c>
    </row>
    <row r="93" spans="1:30" x14ac:dyDescent="0.25">
      <c r="A93">
        <v>525</v>
      </c>
      <c r="B93" t="s">
        <v>258</v>
      </c>
      <c r="C93" t="s">
        <v>259</v>
      </c>
      <c r="D93" t="s">
        <v>92</v>
      </c>
      <c r="E93">
        <v>59</v>
      </c>
      <c r="F93">
        <v>84</v>
      </c>
      <c r="G93">
        <v>4</v>
      </c>
      <c r="H93">
        <v>119</v>
      </c>
      <c r="I93">
        <v>125</v>
      </c>
      <c r="J93">
        <v>95.2</v>
      </c>
      <c r="K93" s="2">
        <v>0.39500000000000002</v>
      </c>
      <c r="L93">
        <v>47</v>
      </c>
      <c r="M93">
        <v>72</v>
      </c>
      <c r="N93" s="2">
        <v>0.26100000000000001</v>
      </c>
      <c r="P93" s="2">
        <v>0.218</v>
      </c>
      <c r="Q93">
        <v>102</v>
      </c>
      <c r="S93">
        <v>84</v>
      </c>
      <c r="T93">
        <v>93.3</v>
      </c>
      <c r="U93" t="s">
        <v>56</v>
      </c>
      <c r="V93" t="s">
        <v>33</v>
      </c>
      <c r="W93">
        <v>100</v>
      </c>
      <c r="X93">
        <v>1.5</v>
      </c>
      <c r="Y93">
        <v>5</v>
      </c>
      <c r="Z93">
        <v>0</v>
      </c>
      <c r="AA93">
        <v>2</v>
      </c>
      <c r="AB93" s="8">
        <f>AC93+Z93</f>
        <v>101.8</v>
      </c>
      <c r="AC93">
        <v>101.8</v>
      </c>
      <c r="AD93" t="s">
        <v>260</v>
      </c>
    </row>
    <row r="94" spans="1:30" x14ac:dyDescent="0.25">
      <c r="A94">
        <v>591</v>
      </c>
      <c r="B94" t="s">
        <v>158</v>
      </c>
      <c r="C94" t="s">
        <v>263</v>
      </c>
      <c r="D94" t="s">
        <v>136</v>
      </c>
      <c r="E94">
        <v>62</v>
      </c>
      <c r="F94">
        <v>0</v>
      </c>
      <c r="G94">
        <v>0</v>
      </c>
      <c r="H94">
        <v>20</v>
      </c>
      <c r="I94">
        <v>22</v>
      </c>
      <c r="J94">
        <v>90.9</v>
      </c>
      <c r="K94" s="2">
        <v>0.55000000000000004</v>
      </c>
      <c r="L94">
        <v>11</v>
      </c>
      <c r="M94">
        <v>9</v>
      </c>
      <c r="N94" s="2">
        <v>0</v>
      </c>
      <c r="P94" s="2">
        <v>0.24399999999999999</v>
      </c>
      <c r="Q94">
        <v>0</v>
      </c>
      <c r="S94">
        <v>94</v>
      </c>
      <c r="T94">
        <v>94.2</v>
      </c>
      <c r="U94" t="s">
        <v>102</v>
      </c>
      <c r="V94" t="s">
        <v>86</v>
      </c>
      <c r="W94">
        <v>69.099999999999994</v>
      </c>
      <c r="X94">
        <v>2</v>
      </c>
      <c r="Y94">
        <v>3</v>
      </c>
      <c r="Z94">
        <v>0</v>
      </c>
      <c r="AA94">
        <v>2</v>
      </c>
      <c r="AB94" s="8">
        <f>AC94+Z94</f>
        <v>101.2</v>
      </c>
      <c r="AC94">
        <v>101.2</v>
      </c>
      <c r="AD94" t="s">
        <v>264</v>
      </c>
    </row>
    <row r="95" spans="1:30" x14ac:dyDescent="0.25">
      <c r="A95">
        <v>313</v>
      </c>
      <c r="B95" t="s">
        <v>265</v>
      </c>
      <c r="C95" t="s">
        <v>266</v>
      </c>
      <c r="D95" t="s">
        <v>92</v>
      </c>
      <c r="E95">
        <v>72</v>
      </c>
      <c r="F95">
        <v>67</v>
      </c>
      <c r="G95">
        <v>0</v>
      </c>
      <c r="H95">
        <v>307</v>
      </c>
      <c r="I95">
        <v>407</v>
      </c>
      <c r="J95">
        <v>75.400000000000006</v>
      </c>
      <c r="K95" s="2">
        <v>0.48499999999999999</v>
      </c>
      <c r="L95">
        <v>149</v>
      </c>
      <c r="M95">
        <v>158</v>
      </c>
      <c r="N95" s="2">
        <v>0.25800000000000001</v>
      </c>
      <c r="O95" s="2">
        <v>0.22700000000000001</v>
      </c>
      <c r="P95" s="2">
        <v>0.28299999999999997</v>
      </c>
      <c r="Q95">
        <v>101</v>
      </c>
      <c r="R95">
        <v>90</v>
      </c>
      <c r="S95">
        <v>109</v>
      </c>
      <c r="T95">
        <v>99.5</v>
      </c>
      <c r="U95" t="s">
        <v>32</v>
      </c>
      <c r="V95" t="s">
        <v>33</v>
      </c>
      <c r="W95">
        <v>100</v>
      </c>
      <c r="X95">
        <v>1.5</v>
      </c>
      <c r="Y95">
        <v>0</v>
      </c>
      <c r="Z95">
        <v>0</v>
      </c>
      <c r="AA95">
        <v>0</v>
      </c>
      <c r="AB95" s="8">
        <f>AC95+Z95</f>
        <v>101</v>
      </c>
      <c r="AC95">
        <v>101</v>
      </c>
    </row>
    <row r="96" spans="1:30" x14ac:dyDescent="0.25">
      <c r="A96">
        <v>170</v>
      </c>
      <c r="B96" t="s">
        <v>261</v>
      </c>
      <c r="C96" t="s">
        <v>262</v>
      </c>
      <c r="D96" t="s">
        <v>42</v>
      </c>
      <c r="E96">
        <v>72</v>
      </c>
      <c r="F96">
        <v>79</v>
      </c>
      <c r="G96">
        <v>0</v>
      </c>
      <c r="H96">
        <v>279</v>
      </c>
      <c r="I96">
        <v>374</v>
      </c>
      <c r="J96">
        <v>74.599999999999994</v>
      </c>
      <c r="K96" s="2">
        <v>0.55200000000000005</v>
      </c>
      <c r="L96">
        <v>296</v>
      </c>
      <c r="M96">
        <v>240</v>
      </c>
      <c r="N96" s="2">
        <v>0.27100000000000002</v>
      </c>
      <c r="O96" s="2">
        <v>0.24</v>
      </c>
      <c r="P96" s="2">
        <v>0.24299999999999999</v>
      </c>
      <c r="Q96">
        <v>106</v>
      </c>
      <c r="R96">
        <v>96</v>
      </c>
      <c r="S96">
        <v>94</v>
      </c>
      <c r="T96">
        <v>100.4</v>
      </c>
      <c r="U96" t="s">
        <v>32</v>
      </c>
      <c r="V96" t="s">
        <v>33</v>
      </c>
      <c r="W96">
        <v>100</v>
      </c>
      <c r="X96">
        <v>1</v>
      </c>
      <c r="Y96">
        <v>0</v>
      </c>
      <c r="Z96">
        <v>-1</v>
      </c>
      <c r="AA96">
        <v>0</v>
      </c>
      <c r="AB96" s="8">
        <f>AC96+Z96</f>
        <v>100.4</v>
      </c>
      <c r="AC96">
        <v>101.4</v>
      </c>
      <c r="AD96" t="s">
        <v>173</v>
      </c>
    </row>
    <row r="97" spans="1:30" x14ac:dyDescent="0.25">
      <c r="A97">
        <v>547</v>
      </c>
      <c r="B97" t="s">
        <v>241</v>
      </c>
      <c r="C97" t="s">
        <v>242</v>
      </c>
      <c r="D97" t="s">
        <v>192</v>
      </c>
      <c r="E97">
        <v>62</v>
      </c>
      <c r="F97">
        <v>0</v>
      </c>
      <c r="G97">
        <v>0</v>
      </c>
      <c r="H97">
        <v>54</v>
      </c>
      <c r="I97">
        <v>63</v>
      </c>
      <c r="J97">
        <v>85.7</v>
      </c>
      <c r="K97" s="2">
        <v>0.5</v>
      </c>
      <c r="L97">
        <v>27</v>
      </c>
      <c r="M97">
        <v>27</v>
      </c>
      <c r="N97" s="2">
        <v>0</v>
      </c>
      <c r="Q97">
        <v>0</v>
      </c>
      <c r="T97">
        <v>100.3</v>
      </c>
      <c r="U97" t="s">
        <v>243</v>
      </c>
      <c r="V97" t="s">
        <v>49</v>
      </c>
      <c r="W97">
        <v>84</v>
      </c>
      <c r="X97">
        <v>0</v>
      </c>
      <c r="Y97">
        <v>3</v>
      </c>
      <c r="Z97">
        <v>-4</v>
      </c>
      <c r="AA97">
        <v>1</v>
      </c>
      <c r="AB97" s="8">
        <f>AC97+Z97</f>
        <v>100.3</v>
      </c>
      <c r="AC97">
        <v>104.3</v>
      </c>
      <c r="AD97" t="s">
        <v>244</v>
      </c>
    </row>
    <row r="98" spans="1:30" s="5" customFormat="1" x14ac:dyDescent="0.25">
      <c r="A98">
        <v>539</v>
      </c>
      <c r="B98" t="s">
        <v>112</v>
      </c>
      <c r="C98" t="s">
        <v>270</v>
      </c>
      <c r="D98" t="s">
        <v>71</v>
      </c>
      <c r="E98">
        <v>60</v>
      </c>
      <c r="F98">
        <v>65</v>
      </c>
      <c r="G98">
        <v>1</v>
      </c>
      <c r="H98">
        <v>110</v>
      </c>
      <c r="I98">
        <v>128</v>
      </c>
      <c r="J98">
        <v>85.9</v>
      </c>
      <c r="K98" s="2">
        <v>0.64500000000000002</v>
      </c>
      <c r="L98">
        <v>71</v>
      </c>
      <c r="M98">
        <v>39</v>
      </c>
      <c r="N98" s="2">
        <v>0.20100000000000001</v>
      </c>
      <c r="O98" s="2">
        <v>0.252</v>
      </c>
      <c r="P98" s="2">
        <v>0.28399999999999997</v>
      </c>
      <c r="Q98">
        <v>79</v>
      </c>
      <c r="R98">
        <v>100</v>
      </c>
      <c r="S98">
        <v>110</v>
      </c>
      <c r="T98">
        <v>91.2</v>
      </c>
      <c r="U98" t="s">
        <v>32</v>
      </c>
      <c r="V98" t="s">
        <v>33</v>
      </c>
      <c r="W98">
        <v>100</v>
      </c>
      <c r="X98">
        <v>5</v>
      </c>
      <c r="Y98">
        <v>3</v>
      </c>
      <c r="Z98">
        <v>0</v>
      </c>
      <c r="AA98">
        <v>1</v>
      </c>
      <c r="AB98" s="8">
        <f>AC98+Z98</f>
        <v>100.2</v>
      </c>
      <c r="AC98">
        <v>100.2</v>
      </c>
      <c r="AD98" t="s">
        <v>271</v>
      </c>
    </row>
    <row r="99" spans="1:30" x14ac:dyDescent="0.25">
      <c r="A99">
        <v>181</v>
      </c>
      <c r="B99" t="s">
        <v>29</v>
      </c>
      <c r="C99" t="s">
        <v>267</v>
      </c>
      <c r="D99" t="s">
        <v>77</v>
      </c>
      <c r="E99">
        <v>67</v>
      </c>
      <c r="F99">
        <v>0</v>
      </c>
      <c r="G99">
        <v>0</v>
      </c>
      <c r="H99">
        <v>294</v>
      </c>
      <c r="I99">
        <v>377</v>
      </c>
      <c r="J99">
        <v>78</v>
      </c>
      <c r="K99" s="2">
        <v>0.59499999999999997</v>
      </c>
      <c r="L99">
        <v>173</v>
      </c>
      <c r="M99">
        <v>118</v>
      </c>
      <c r="N99" s="2">
        <v>0</v>
      </c>
      <c r="P99" s="2">
        <v>0.224</v>
      </c>
      <c r="Q99">
        <v>0</v>
      </c>
      <c r="S99">
        <v>87</v>
      </c>
      <c r="T99">
        <v>96</v>
      </c>
      <c r="U99" t="s">
        <v>268</v>
      </c>
      <c r="V99" t="s">
        <v>33</v>
      </c>
      <c r="W99">
        <v>100</v>
      </c>
      <c r="X99">
        <v>4</v>
      </c>
      <c r="Y99">
        <v>1</v>
      </c>
      <c r="Z99">
        <v>-1</v>
      </c>
      <c r="AA99">
        <v>0</v>
      </c>
      <c r="AB99" s="8">
        <f>AC99+Z99</f>
        <v>100</v>
      </c>
      <c r="AC99">
        <v>101</v>
      </c>
      <c r="AD99" t="s">
        <v>269</v>
      </c>
    </row>
    <row r="100" spans="1:30" x14ac:dyDescent="0.25">
      <c r="A100">
        <v>486</v>
      </c>
      <c r="B100" t="s">
        <v>98</v>
      </c>
      <c r="C100" t="s">
        <v>285</v>
      </c>
      <c r="D100" t="s">
        <v>77</v>
      </c>
      <c r="E100">
        <v>65</v>
      </c>
      <c r="F100">
        <v>0</v>
      </c>
      <c r="G100">
        <v>0</v>
      </c>
      <c r="H100">
        <v>57</v>
      </c>
      <c r="I100">
        <v>65</v>
      </c>
      <c r="J100">
        <v>87.7</v>
      </c>
      <c r="K100" s="2">
        <v>0.71899999999999997</v>
      </c>
      <c r="L100">
        <v>41</v>
      </c>
      <c r="M100">
        <v>16</v>
      </c>
      <c r="N100" s="2">
        <v>0</v>
      </c>
      <c r="P100" s="2">
        <v>0.20399999999999999</v>
      </c>
      <c r="Q100">
        <v>0</v>
      </c>
      <c r="S100">
        <v>79</v>
      </c>
      <c r="T100">
        <v>91</v>
      </c>
      <c r="U100" t="s">
        <v>43</v>
      </c>
      <c r="V100" t="s">
        <v>33</v>
      </c>
      <c r="W100">
        <v>100</v>
      </c>
      <c r="X100">
        <v>4</v>
      </c>
      <c r="Y100">
        <v>1</v>
      </c>
      <c r="Z100">
        <v>3</v>
      </c>
      <c r="AA100">
        <v>1</v>
      </c>
      <c r="AB100" s="8">
        <f>AC100+Z100</f>
        <v>100</v>
      </c>
      <c r="AC100">
        <v>97</v>
      </c>
    </row>
    <row r="101" spans="1:30" x14ac:dyDescent="0.25">
      <c r="B101" t="s">
        <v>120</v>
      </c>
      <c r="C101" t="s">
        <v>411</v>
      </c>
      <c r="D101" t="s">
        <v>47</v>
      </c>
      <c r="F101" t="s">
        <v>396</v>
      </c>
      <c r="G101" t="s">
        <v>396</v>
      </c>
      <c r="H101">
        <v>0</v>
      </c>
      <c r="I101">
        <v>0</v>
      </c>
      <c r="L101">
        <v>0</v>
      </c>
      <c r="M101">
        <v>0</v>
      </c>
      <c r="N101" t="s">
        <v>396</v>
      </c>
      <c r="V101" t="s">
        <v>94</v>
      </c>
      <c r="W101">
        <v>0</v>
      </c>
      <c r="X101">
        <v>2.5</v>
      </c>
      <c r="Y101">
        <v>0</v>
      </c>
      <c r="Z101">
        <v>100</v>
      </c>
      <c r="AA101">
        <v>0</v>
      </c>
      <c r="AB101" s="8">
        <f>AC101+Z101</f>
        <v>100</v>
      </c>
      <c r="AD101" t="s">
        <v>412</v>
      </c>
    </row>
    <row r="102" spans="1:30" x14ac:dyDescent="0.25">
      <c r="A102">
        <v>175</v>
      </c>
      <c r="B102" t="s">
        <v>66</v>
      </c>
      <c r="C102" t="s">
        <v>272</v>
      </c>
      <c r="D102" t="s">
        <v>92</v>
      </c>
      <c r="E102">
        <v>67</v>
      </c>
      <c r="F102">
        <v>0</v>
      </c>
      <c r="G102">
        <v>0</v>
      </c>
      <c r="H102">
        <v>244</v>
      </c>
      <c r="I102">
        <v>269</v>
      </c>
      <c r="J102">
        <v>90.7</v>
      </c>
      <c r="K102" s="2">
        <v>0.49199999999999999</v>
      </c>
      <c r="L102">
        <v>120</v>
      </c>
      <c r="M102">
        <v>124</v>
      </c>
      <c r="N102" s="2">
        <v>0</v>
      </c>
      <c r="P102" s="2">
        <v>0.25</v>
      </c>
      <c r="Q102">
        <v>0</v>
      </c>
      <c r="S102">
        <v>97</v>
      </c>
      <c r="T102">
        <v>94.8</v>
      </c>
      <c r="U102" t="s">
        <v>43</v>
      </c>
      <c r="V102" t="s">
        <v>33</v>
      </c>
      <c r="W102">
        <v>100</v>
      </c>
      <c r="X102">
        <v>1.5</v>
      </c>
      <c r="Y102">
        <v>1</v>
      </c>
      <c r="Z102">
        <v>0</v>
      </c>
      <c r="AA102">
        <v>2</v>
      </c>
      <c r="AB102" s="8">
        <f>AC102+Z102</f>
        <v>99.3</v>
      </c>
      <c r="AC102">
        <v>99.3</v>
      </c>
    </row>
    <row r="103" spans="1:30" x14ac:dyDescent="0.25">
      <c r="A103">
        <v>568</v>
      </c>
      <c r="B103" t="s">
        <v>273</v>
      </c>
      <c r="C103" t="s">
        <v>274</v>
      </c>
      <c r="D103" t="s">
        <v>47</v>
      </c>
      <c r="E103">
        <v>63</v>
      </c>
      <c r="F103">
        <v>82</v>
      </c>
      <c r="G103">
        <v>1</v>
      </c>
      <c r="H103">
        <v>54</v>
      </c>
      <c r="I103">
        <v>66</v>
      </c>
      <c r="J103">
        <v>81.8</v>
      </c>
      <c r="K103" s="2">
        <v>0.5</v>
      </c>
      <c r="L103">
        <v>27</v>
      </c>
      <c r="M103">
        <v>27</v>
      </c>
      <c r="N103" s="2">
        <v>0.24299999999999999</v>
      </c>
      <c r="P103" s="2">
        <v>0.23200000000000001</v>
      </c>
      <c r="Q103">
        <v>95</v>
      </c>
      <c r="S103">
        <v>90</v>
      </c>
      <c r="T103">
        <v>92.2</v>
      </c>
      <c r="U103" t="s">
        <v>56</v>
      </c>
      <c r="V103" t="s">
        <v>33</v>
      </c>
      <c r="W103">
        <v>100</v>
      </c>
      <c r="X103">
        <v>2.5</v>
      </c>
      <c r="Y103">
        <v>3</v>
      </c>
      <c r="Z103">
        <v>0</v>
      </c>
      <c r="AA103">
        <v>1</v>
      </c>
      <c r="AB103" s="8">
        <f>AC103+Z103</f>
        <v>98.7</v>
      </c>
      <c r="AC103">
        <v>98.7</v>
      </c>
      <c r="AD103" t="s">
        <v>275</v>
      </c>
    </row>
    <row r="104" spans="1:30" x14ac:dyDescent="0.25">
      <c r="A104">
        <v>388</v>
      </c>
      <c r="B104" t="s">
        <v>169</v>
      </c>
      <c r="C104" t="s">
        <v>280</v>
      </c>
      <c r="D104" t="s">
        <v>47</v>
      </c>
      <c r="E104">
        <v>60</v>
      </c>
      <c r="F104">
        <v>60</v>
      </c>
      <c r="G104">
        <v>0</v>
      </c>
      <c r="H104">
        <v>217</v>
      </c>
      <c r="I104">
        <v>258</v>
      </c>
      <c r="J104">
        <v>84.1</v>
      </c>
      <c r="K104" s="2">
        <v>0.45600000000000002</v>
      </c>
      <c r="L104">
        <v>99</v>
      </c>
      <c r="M104">
        <v>118</v>
      </c>
      <c r="N104" s="2">
        <v>0.24299999999999999</v>
      </c>
      <c r="P104" s="2">
        <v>0.23200000000000001</v>
      </c>
      <c r="Q104">
        <v>95</v>
      </c>
      <c r="S104">
        <v>90</v>
      </c>
      <c r="T104">
        <v>90.9</v>
      </c>
      <c r="U104" t="s">
        <v>56</v>
      </c>
      <c r="V104" t="s">
        <v>33</v>
      </c>
      <c r="W104">
        <v>100</v>
      </c>
      <c r="X104">
        <v>2.5</v>
      </c>
      <c r="Y104">
        <v>3</v>
      </c>
      <c r="Z104">
        <v>1</v>
      </c>
      <c r="AA104">
        <v>1</v>
      </c>
      <c r="AB104" s="8">
        <f>AC104+Z104</f>
        <v>98.4</v>
      </c>
      <c r="AC104">
        <v>97.4</v>
      </c>
      <c r="AD104" t="s">
        <v>281</v>
      </c>
    </row>
    <row r="105" spans="1:30" x14ac:dyDescent="0.25">
      <c r="A105">
        <v>260</v>
      </c>
      <c r="B105" t="s">
        <v>276</v>
      </c>
      <c r="C105" t="s">
        <v>277</v>
      </c>
      <c r="D105" t="s">
        <v>42</v>
      </c>
      <c r="E105">
        <v>69</v>
      </c>
      <c r="F105">
        <v>83</v>
      </c>
      <c r="G105">
        <v>2</v>
      </c>
      <c r="H105">
        <v>304</v>
      </c>
      <c r="I105">
        <v>366</v>
      </c>
      <c r="J105">
        <v>83.1</v>
      </c>
      <c r="K105" s="2">
        <v>0.55400000000000005</v>
      </c>
      <c r="L105">
        <v>252</v>
      </c>
      <c r="M105">
        <v>203</v>
      </c>
      <c r="N105" s="2">
        <v>0.24</v>
      </c>
      <c r="O105" s="2">
        <v>0.25700000000000001</v>
      </c>
      <c r="P105" s="2">
        <v>0.22800000000000001</v>
      </c>
      <c r="Q105">
        <v>94</v>
      </c>
      <c r="R105">
        <v>102</v>
      </c>
      <c r="S105">
        <v>88</v>
      </c>
      <c r="T105">
        <v>95.2</v>
      </c>
      <c r="U105" t="s">
        <v>32</v>
      </c>
      <c r="V105" t="s">
        <v>33</v>
      </c>
      <c r="W105">
        <v>100</v>
      </c>
      <c r="X105">
        <v>1</v>
      </c>
      <c r="Y105">
        <v>1</v>
      </c>
      <c r="Z105">
        <v>0</v>
      </c>
      <c r="AA105">
        <v>1</v>
      </c>
      <c r="AB105" s="8">
        <f>AC105+Z105</f>
        <v>98.2</v>
      </c>
      <c r="AC105">
        <v>98.2</v>
      </c>
    </row>
    <row r="106" spans="1:30" x14ac:dyDescent="0.25">
      <c r="A106">
        <v>490</v>
      </c>
      <c r="B106" t="s">
        <v>45</v>
      </c>
      <c r="C106" t="s">
        <v>278</v>
      </c>
      <c r="D106" t="s">
        <v>47</v>
      </c>
      <c r="E106">
        <v>65</v>
      </c>
      <c r="F106">
        <v>0</v>
      </c>
      <c r="G106">
        <v>0</v>
      </c>
      <c r="H106">
        <v>66</v>
      </c>
      <c r="I106">
        <v>66</v>
      </c>
      <c r="J106">
        <v>100</v>
      </c>
      <c r="K106" s="2">
        <v>0.621</v>
      </c>
      <c r="L106">
        <v>41</v>
      </c>
      <c r="M106">
        <v>25</v>
      </c>
      <c r="N106" s="2">
        <v>0</v>
      </c>
      <c r="P106" s="2">
        <v>0.24099999999999999</v>
      </c>
      <c r="Q106">
        <v>0</v>
      </c>
      <c r="S106">
        <v>93</v>
      </c>
      <c r="T106">
        <v>92.4</v>
      </c>
      <c r="U106" t="s">
        <v>43</v>
      </c>
      <c r="V106" t="s">
        <v>33</v>
      </c>
      <c r="W106">
        <v>100</v>
      </c>
      <c r="X106">
        <v>2.5</v>
      </c>
      <c r="Y106">
        <v>1</v>
      </c>
      <c r="Z106">
        <v>0</v>
      </c>
      <c r="AA106">
        <v>2</v>
      </c>
      <c r="AB106" s="8">
        <f>AC106+Z106</f>
        <v>97.9</v>
      </c>
      <c r="AC106">
        <v>97.9</v>
      </c>
      <c r="AD106" t="s">
        <v>279</v>
      </c>
    </row>
    <row r="107" spans="1:30" x14ac:dyDescent="0.25">
      <c r="A107" s="5">
        <v>495</v>
      </c>
      <c r="B107" s="5" t="s">
        <v>282</v>
      </c>
      <c r="C107" s="5" t="s">
        <v>283</v>
      </c>
      <c r="D107" s="5" t="s">
        <v>143</v>
      </c>
      <c r="E107" s="5">
        <v>53</v>
      </c>
      <c r="F107" s="5">
        <v>71</v>
      </c>
      <c r="G107" s="5">
        <v>0</v>
      </c>
      <c r="H107" s="5">
        <v>148</v>
      </c>
      <c r="I107" s="5">
        <v>185</v>
      </c>
      <c r="J107" s="5">
        <v>80</v>
      </c>
      <c r="K107" s="6">
        <v>0.45300000000000001</v>
      </c>
      <c r="L107" s="5">
        <v>67</v>
      </c>
      <c r="M107" s="5">
        <v>81</v>
      </c>
      <c r="N107" s="6">
        <v>0.23300000000000001</v>
      </c>
      <c r="O107" s="6">
        <v>0.216</v>
      </c>
      <c r="P107" s="6">
        <v>0.23899999999999999</v>
      </c>
      <c r="Q107" s="5">
        <v>91</v>
      </c>
      <c r="R107" s="5">
        <v>86</v>
      </c>
      <c r="S107" s="5">
        <v>92</v>
      </c>
      <c r="T107" s="5">
        <v>89.8</v>
      </c>
      <c r="U107" s="5" t="s">
        <v>32</v>
      </c>
      <c r="V107" s="5" t="s">
        <v>33</v>
      </c>
      <c r="W107" s="5">
        <v>100</v>
      </c>
      <c r="X107" s="5">
        <v>1.5</v>
      </c>
      <c r="Y107" s="5">
        <v>5</v>
      </c>
      <c r="Z107" s="5">
        <v>0</v>
      </c>
      <c r="AA107" s="5">
        <v>1</v>
      </c>
      <c r="AB107" s="5">
        <f>AC107+Z107</f>
        <v>97.3</v>
      </c>
      <c r="AC107" s="5">
        <v>97.3</v>
      </c>
      <c r="AD107" s="5" t="s">
        <v>284</v>
      </c>
    </row>
    <row r="108" spans="1:30" x14ac:dyDescent="0.25">
      <c r="A108">
        <v>553</v>
      </c>
      <c r="B108" t="s">
        <v>294</v>
      </c>
      <c r="C108" t="s">
        <v>295</v>
      </c>
      <c r="D108" t="s">
        <v>136</v>
      </c>
      <c r="E108">
        <v>69</v>
      </c>
      <c r="F108">
        <v>0</v>
      </c>
      <c r="G108">
        <v>0</v>
      </c>
      <c r="H108">
        <v>33</v>
      </c>
      <c r="I108">
        <v>44</v>
      </c>
      <c r="J108">
        <v>75</v>
      </c>
      <c r="K108" s="2">
        <v>0.27300000000000002</v>
      </c>
      <c r="L108">
        <v>9</v>
      </c>
      <c r="M108">
        <v>24</v>
      </c>
      <c r="N108" s="2">
        <v>0</v>
      </c>
      <c r="P108" s="2">
        <v>0.215</v>
      </c>
      <c r="Q108">
        <v>0</v>
      </c>
      <c r="S108">
        <v>83</v>
      </c>
      <c r="T108">
        <v>93</v>
      </c>
      <c r="U108" t="s">
        <v>296</v>
      </c>
      <c r="V108" t="s">
        <v>49</v>
      </c>
      <c r="W108">
        <v>85.9</v>
      </c>
      <c r="X108">
        <v>2</v>
      </c>
      <c r="Y108">
        <v>1</v>
      </c>
      <c r="Z108">
        <v>1</v>
      </c>
      <c r="AA108">
        <v>0</v>
      </c>
      <c r="AB108" s="8">
        <f>AC108+Z108</f>
        <v>97</v>
      </c>
      <c r="AC108">
        <v>96</v>
      </c>
      <c r="AD108" t="s">
        <v>297</v>
      </c>
    </row>
    <row r="109" spans="1:30" x14ac:dyDescent="0.25">
      <c r="A109">
        <v>432</v>
      </c>
      <c r="B109" t="s">
        <v>286</v>
      </c>
      <c r="C109" t="s">
        <v>287</v>
      </c>
      <c r="D109" t="s">
        <v>71</v>
      </c>
      <c r="E109">
        <v>70</v>
      </c>
      <c r="F109">
        <v>0</v>
      </c>
      <c r="G109">
        <v>0</v>
      </c>
      <c r="H109">
        <v>172</v>
      </c>
      <c r="I109">
        <v>183</v>
      </c>
      <c r="J109">
        <v>94</v>
      </c>
      <c r="K109" s="2">
        <v>0.47099999999999997</v>
      </c>
      <c r="L109">
        <v>81</v>
      </c>
      <c r="M109">
        <v>91</v>
      </c>
      <c r="N109" s="2">
        <v>0</v>
      </c>
      <c r="O109" s="2">
        <v>0.23</v>
      </c>
      <c r="P109" s="2">
        <v>0.219</v>
      </c>
      <c r="Q109">
        <v>0</v>
      </c>
      <c r="R109">
        <v>92</v>
      </c>
      <c r="S109">
        <v>85</v>
      </c>
      <c r="T109">
        <v>89.7</v>
      </c>
      <c r="U109" t="s">
        <v>288</v>
      </c>
      <c r="V109" t="s">
        <v>33</v>
      </c>
      <c r="W109">
        <v>92</v>
      </c>
      <c r="X109">
        <v>5</v>
      </c>
      <c r="Y109">
        <v>0</v>
      </c>
      <c r="Z109">
        <v>0</v>
      </c>
      <c r="AA109">
        <v>2</v>
      </c>
      <c r="AB109" s="8">
        <f>AC109+Z109</f>
        <v>96.7</v>
      </c>
      <c r="AC109">
        <v>96.7</v>
      </c>
    </row>
    <row r="110" spans="1:30" x14ac:dyDescent="0.25">
      <c r="A110">
        <v>440</v>
      </c>
      <c r="B110" t="s">
        <v>289</v>
      </c>
      <c r="C110" t="s">
        <v>290</v>
      </c>
      <c r="D110" t="s">
        <v>92</v>
      </c>
      <c r="E110">
        <v>73</v>
      </c>
      <c r="F110">
        <v>73</v>
      </c>
      <c r="G110">
        <v>1</v>
      </c>
      <c r="H110">
        <v>207</v>
      </c>
      <c r="I110">
        <v>232</v>
      </c>
      <c r="J110">
        <v>89.2</v>
      </c>
      <c r="K110" s="2">
        <v>0.48799999999999999</v>
      </c>
      <c r="L110">
        <v>101</v>
      </c>
      <c r="M110">
        <v>106</v>
      </c>
      <c r="N110" s="2">
        <v>0.253</v>
      </c>
      <c r="O110" s="2">
        <v>0.218</v>
      </c>
      <c r="P110" s="2">
        <v>0.24</v>
      </c>
      <c r="Q110">
        <v>99</v>
      </c>
      <c r="R110">
        <v>87</v>
      </c>
      <c r="S110">
        <v>93</v>
      </c>
      <c r="T110">
        <v>94</v>
      </c>
      <c r="U110" t="s">
        <v>32</v>
      </c>
      <c r="V110" t="s">
        <v>33</v>
      </c>
      <c r="W110">
        <v>100</v>
      </c>
      <c r="X110">
        <v>1.5</v>
      </c>
      <c r="Y110">
        <v>0</v>
      </c>
      <c r="Z110">
        <v>0</v>
      </c>
      <c r="AA110">
        <v>1</v>
      </c>
      <c r="AB110" s="8">
        <f>AC110+Z110</f>
        <v>96.5</v>
      </c>
      <c r="AC110">
        <v>96.5</v>
      </c>
      <c r="AD110" t="s">
        <v>291</v>
      </c>
    </row>
    <row r="111" spans="1:30" s="5" customFormat="1" x14ac:dyDescent="0.25">
      <c r="A111">
        <v>516</v>
      </c>
      <c r="B111" t="s">
        <v>292</v>
      </c>
      <c r="C111" t="s">
        <v>293</v>
      </c>
      <c r="D111" t="s">
        <v>47</v>
      </c>
      <c r="E111">
        <v>66</v>
      </c>
      <c r="F111">
        <v>75</v>
      </c>
      <c r="G111">
        <v>1</v>
      </c>
      <c r="H111">
        <v>146</v>
      </c>
      <c r="I111">
        <v>163</v>
      </c>
      <c r="J111">
        <v>89.6</v>
      </c>
      <c r="K111" s="2">
        <v>0.57899999999999996</v>
      </c>
      <c r="L111">
        <v>84</v>
      </c>
      <c r="M111">
        <v>61</v>
      </c>
      <c r="N111" s="2">
        <v>0.224</v>
      </c>
      <c r="O111" s="2">
        <v>0.22800000000000001</v>
      </c>
      <c r="P111" s="2">
        <v>0.26700000000000002</v>
      </c>
      <c r="Q111">
        <v>88</v>
      </c>
      <c r="R111">
        <v>91</v>
      </c>
      <c r="S111">
        <v>103</v>
      </c>
      <c r="T111">
        <v>91.6</v>
      </c>
      <c r="U111" t="s">
        <v>32</v>
      </c>
      <c r="V111" t="s">
        <v>33</v>
      </c>
      <c r="W111">
        <v>100</v>
      </c>
      <c r="X111">
        <v>2.5</v>
      </c>
      <c r="Y111">
        <v>1</v>
      </c>
      <c r="Z111">
        <v>0</v>
      </c>
      <c r="AA111">
        <v>1</v>
      </c>
      <c r="AB111" s="8">
        <f>AC111+Z111</f>
        <v>96.1</v>
      </c>
      <c r="AC111">
        <v>96.1</v>
      </c>
      <c r="AD111"/>
    </row>
    <row r="112" spans="1:30" x14ac:dyDescent="0.25">
      <c r="A112">
        <v>576</v>
      </c>
      <c r="B112" t="s">
        <v>69</v>
      </c>
      <c r="C112" t="s">
        <v>298</v>
      </c>
      <c r="D112" t="s">
        <v>71</v>
      </c>
      <c r="E112">
        <v>60</v>
      </c>
      <c r="F112">
        <v>73</v>
      </c>
      <c r="G112">
        <v>1</v>
      </c>
      <c r="H112">
        <v>60</v>
      </c>
      <c r="I112">
        <v>65</v>
      </c>
      <c r="J112">
        <v>92.3</v>
      </c>
      <c r="K112" s="2">
        <v>0.627</v>
      </c>
      <c r="L112">
        <v>37</v>
      </c>
      <c r="M112">
        <v>22</v>
      </c>
      <c r="N112" s="2">
        <v>0.188</v>
      </c>
      <c r="O112" s="2">
        <v>0.20699999999999999</v>
      </c>
      <c r="P112" s="2">
        <v>0.318</v>
      </c>
      <c r="Q112">
        <v>74</v>
      </c>
      <c r="R112">
        <v>82</v>
      </c>
      <c r="S112">
        <v>123</v>
      </c>
      <c r="T112">
        <v>85.9</v>
      </c>
      <c r="U112" t="s">
        <v>32</v>
      </c>
      <c r="V112" t="s">
        <v>33</v>
      </c>
      <c r="W112">
        <v>97.5</v>
      </c>
      <c r="X112">
        <v>5</v>
      </c>
      <c r="Y112">
        <v>3</v>
      </c>
      <c r="Z112">
        <v>0</v>
      </c>
      <c r="AA112">
        <v>2</v>
      </c>
      <c r="AB112" s="8">
        <f>AC112+Z112</f>
        <v>95.9</v>
      </c>
      <c r="AC112">
        <v>95.9</v>
      </c>
      <c r="AD112" t="s">
        <v>299</v>
      </c>
    </row>
    <row r="113" spans="1:30" x14ac:dyDescent="0.25">
      <c r="A113">
        <v>336</v>
      </c>
      <c r="B113" t="s">
        <v>276</v>
      </c>
      <c r="C113" t="s">
        <v>304</v>
      </c>
      <c r="D113" t="s">
        <v>143</v>
      </c>
      <c r="E113">
        <v>78</v>
      </c>
      <c r="F113">
        <v>0</v>
      </c>
      <c r="G113">
        <v>0</v>
      </c>
      <c r="H113">
        <v>148</v>
      </c>
      <c r="I113">
        <v>228</v>
      </c>
      <c r="J113">
        <v>64.900000000000006</v>
      </c>
      <c r="K113" s="2">
        <v>0.55400000000000005</v>
      </c>
      <c r="L113">
        <v>82</v>
      </c>
      <c r="M113">
        <v>66</v>
      </c>
      <c r="N113" s="2">
        <v>0</v>
      </c>
      <c r="P113" s="2">
        <v>0.23599999999999999</v>
      </c>
      <c r="Q113">
        <v>0</v>
      </c>
      <c r="S113">
        <v>91</v>
      </c>
      <c r="T113">
        <v>96.9</v>
      </c>
      <c r="U113" t="s">
        <v>106</v>
      </c>
      <c r="V113" t="s">
        <v>33</v>
      </c>
      <c r="W113">
        <v>100</v>
      </c>
      <c r="X113">
        <v>1.5</v>
      </c>
      <c r="Y113">
        <v>-2</v>
      </c>
      <c r="Z113">
        <v>1</v>
      </c>
      <c r="AA113">
        <v>-2</v>
      </c>
      <c r="AB113" s="8">
        <f>AC113+Z113</f>
        <v>95.4</v>
      </c>
      <c r="AC113">
        <v>94.4</v>
      </c>
      <c r="AD113" t="s">
        <v>305</v>
      </c>
    </row>
    <row r="114" spans="1:30" x14ac:dyDescent="0.25">
      <c r="A114">
        <v>607</v>
      </c>
      <c r="B114" t="s">
        <v>169</v>
      </c>
      <c r="C114" t="s">
        <v>300</v>
      </c>
      <c r="D114" t="s">
        <v>139</v>
      </c>
      <c r="E114">
        <v>66</v>
      </c>
      <c r="F114">
        <v>67</v>
      </c>
      <c r="G114">
        <v>0</v>
      </c>
      <c r="H114">
        <v>20</v>
      </c>
      <c r="I114">
        <v>22</v>
      </c>
      <c r="J114">
        <v>90.9</v>
      </c>
      <c r="K114" s="2">
        <v>0.55000000000000004</v>
      </c>
      <c r="L114">
        <v>11</v>
      </c>
      <c r="M114">
        <v>9</v>
      </c>
      <c r="N114" s="2">
        <v>0.23499999999999999</v>
      </c>
      <c r="Q114">
        <v>92</v>
      </c>
      <c r="T114">
        <v>91.8</v>
      </c>
      <c r="U114" t="s">
        <v>85</v>
      </c>
      <c r="V114" t="s">
        <v>86</v>
      </c>
      <c r="W114">
        <v>69.099999999999994</v>
      </c>
      <c r="X114">
        <v>0.5</v>
      </c>
      <c r="Y114">
        <v>1</v>
      </c>
      <c r="Z114">
        <v>0</v>
      </c>
      <c r="AA114">
        <v>2</v>
      </c>
      <c r="AB114" s="8">
        <f>AC114+Z114</f>
        <v>95.3</v>
      </c>
      <c r="AC114">
        <v>95.3</v>
      </c>
      <c r="AD114" t="s">
        <v>301</v>
      </c>
    </row>
    <row r="115" spans="1:30" x14ac:dyDescent="0.25">
      <c r="B115" t="s">
        <v>45</v>
      </c>
      <c r="C115" t="s">
        <v>397</v>
      </c>
      <c r="D115" t="s">
        <v>71</v>
      </c>
      <c r="F115" t="s">
        <v>396</v>
      </c>
      <c r="G115" t="s">
        <v>396</v>
      </c>
      <c r="H115">
        <v>0</v>
      </c>
      <c r="I115">
        <v>0</v>
      </c>
      <c r="L115">
        <v>0</v>
      </c>
      <c r="M115">
        <v>0</v>
      </c>
      <c r="N115" t="s">
        <v>396</v>
      </c>
      <c r="V115" t="s">
        <v>94</v>
      </c>
      <c r="W115">
        <v>0</v>
      </c>
      <c r="X115">
        <v>5</v>
      </c>
      <c r="Y115">
        <v>0</v>
      </c>
      <c r="Z115">
        <v>95</v>
      </c>
      <c r="AA115">
        <v>0</v>
      </c>
      <c r="AB115" s="8">
        <f>AC115+Z115</f>
        <v>95</v>
      </c>
      <c r="AD115" t="s">
        <v>398</v>
      </c>
    </row>
    <row r="116" spans="1:30" x14ac:dyDescent="0.25">
      <c r="A116">
        <v>545</v>
      </c>
      <c r="B116" t="s">
        <v>90</v>
      </c>
      <c r="C116" t="s">
        <v>302</v>
      </c>
      <c r="D116" t="s">
        <v>92</v>
      </c>
      <c r="E116">
        <v>64</v>
      </c>
      <c r="F116">
        <v>0</v>
      </c>
      <c r="G116">
        <v>0</v>
      </c>
      <c r="H116">
        <v>39</v>
      </c>
      <c r="I116">
        <v>43</v>
      </c>
      <c r="J116">
        <v>90.7</v>
      </c>
      <c r="K116" s="2">
        <v>0.53800000000000003</v>
      </c>
      <c r="L116">
        <v>21</v>
      </c>
      <c r="M116">
        <v>18</v>
      </c>
      <c r="N116" s="2">
        <v>0</v>
      </c>
      <c r="P116" s="2">
        <v>0.246</v>
      </c>
      <c r="Q116">
        <v>0</v>
      </c>
      <c r="S116">
        <v>95</v>
      </c>
      <c r="T116">
        <v>88</v>
      </c>
      <c r="U116" t="s">
        <v>296</v>
      </c>
      <c r="V116" t="s">
        <v>49</v>
      </c>
      <c r="W116">
        <v>85.9</v>
      </c>
      <c r="X116">
        <v>1.5</v>
      </c>
      <c r="Y116">
        <v>3</v>
      </c>
      <c r="Z116">
        <v>0</v>
      </c>
      <c r="AA116">
        <v>2</v>
      </c>
      <c r="AB116" s="8">
        <f>AC116+Z116</f>
        <v>94.5</v>
      </c>
      <c r="AC116">
        <v>94.5</v>
      </c>
    </row>
    <row r="117" spans="1:30" x14ac:dyDescent="0.25">
      <c r="A117">
        <v>404</v>
      </c>
      <c r="B117" t="s">
        <v>294</v>
      </c>
      <c r="C117" t="s">
        <v>303</v>
      </c>
      <c r="D117" t="s">
        <v>92</v>
      </c>
      <c r="E117">
        <v>65</v>
      </c>
      <c r="F117">
        <v>0</v>
      </c>
      <c r="G117">
        <v>0</v>
      </c>
      <c r="H117">
        <v>89</v>
      </c>
      <c r="I117">
        <v>111</v>
      </c>
      <c r="J117">
        <v>80.2</v>
      </c>
      <c r="K117" s="2">
        <v>0.60699999999999998</v>
      </c>
      <c r="L117">
        <v>54</v>
      </c>
      <c r="M117">
        <v>35</v>
      </c>
      <c r="N117" s="2">
        <v>0</v>
      </c>
      <c r="P117" s="2">
        <v>0.23</v>
      </c>
      <c r="Q117">
        <v>0</v>
      </c>
      <c r="S117">
        <v>89</v>
      </c>
      <c r="T117">
        <v>91</v>
      </c>
      <c r="U117" t="s">
        <v>43</v>
      </c>
      <c r="V117" t="s">
        <v>33</v>
      </c>
      <c r="W117">
        <v>100</v>
      </c>
      <c r="X117">
        <v>1.5</v>
      </c>
      <c r="Y117">
        <v>1</v>
      </c>
      <c r="Z117">
        <v>0</v>
      </c>
      <c r="AA117">
        <v>1</v>
      </c>
      <c r="AB117" s="8">
        <f>AC117+Z117</f>
        <v>94.5</v>
      </c>
      <c r="AC117">
        <v>94.5</v>
      </c>
    </row>
    <row r="118" spans="1:30" x14ac:dyDescent="0.25">
      <c r="A118">
        <v>319</v>
      </c>
      <c r="B118" t="s">
        <v>90</v>
      </c>
      <c r="C118" t="s">
        <v>307</v>
      </c>
      <c r="D118" t="s">
        <v>31</v>
      </c>
      <c r="E118">
        <v>70</v>
      </c>
      <c r="F118">
        <v>34</v>
      </c>
      <c r="G118">
        <v>0</v>
      </c>
      <c r="H118">
        <v>200</v>
      </c>
      <c r="I118">
        <v>252</v>
      </c>
      <c r="J118">
        <v>79.400000000000006</v>
      </c>
      <c r="K118" s="2">
        <v>0.52300000000000002</v>
      </c>
      <c r="L118">
        <v>104</v>
      </c>
      <c r="M118">
        <v>95</v>
      </c>
      <c r="N118" s="2">
        <v>0.19500000000000001</v>
      </c>
      <c r="P118" s="2">
        <v>0.26500000000000001</v>
      </c>
      <c r="Q118">
        <v>76</v>
      </c>
      <c r="S118">
        <v>102</v>
      </c>
      <c r="T118">
        <v>89.4</v>
      </c>
      <c r="U118" t="s">
        <v>56</v>
      </c>
      <c r="V118" t="s">
        <v>33</v>
      </c>
      <c r="W118">
        <v>92.5</v>
      </c>
      <c r="X118">
        <v>3.5</v>
      </c>
      <c r="Y118">
        <v>0</v>
      </c>
      <c r="Z118">
        <v>1</v>
      </c>
      <c r="AA118">
        <v>0</v>
      </c>
      <c r="AB118" s="8">
        <f>AC118+Z118</f>
        <v>93.9</v>
      </c>
      <c r="AC118">
        <v>92.9</v>
      </c>
      <c r="AD118" t="s">
        <v>308</v>
      </c>
    </row>
    <row r="119" spans="1:30" x14ac:dyDescent="0.25">
      <c r="A119">
        <v>399</v>
      </c>
      <c r="B119" t="s">
        <v>289</v>
      </c>
      <c r="C119" t="s">
        <v>306</v>
      </c>
      <c r="D119" t="s">
        <v>92</v>
      </c>
      <c r="E119">
        <v>65</v>
      </c>
      <c r="F119">
        <v>79</v>
      </c>
      <c r="G119">
        <v>0</v>
      </c>
      <c r="H119">
        <v>222</v>
      </c>
      <c r="I119">
        <v>231</v>
      </c>
      <c r="J119">
        <v>96.1</v>
      </c>
      <c r="K119" s="2">
        <v>0.55400000000000005</v>
      </c>
      <c r="L119">
        <v>123</v>
      </c>
      <c r="M119">
        <v>99</v>
      </c>
      <c r="N119" s="2">
        <v>0.224</v>
      </c>
      <c r="P119" s="2">
        <v>0.224</v>
      </c>
      <c r="Q119">
        <v>88</v>
      </c>
      <c r="S119">
        <v>87</v>
      </c>
      <c r="T119">
        <v>88.8</v>
      </c>
      <c r="U119" t="s">
        <v>56</v>
      </c>
      <c r="V119" t="s">
        <v>33</v>
      </c>
      <c r="W119">
        <v>100</v>
      </c>
      <c r="X119">
        <v>1.5</v>
      </c>
      <c r="Y119">
        <v>1</v>
      </c>
      <c r="Z119">
        <v>0</v>
      </c>
      <c r="AA119">
        <v>2</v>
      </c>
      <c r="AB119" s="8">
        <f>AC119+Z119</f>
        <v>93.3</v>
      </c>
      <c r="AC119">
        <v>93.3</v>
      </c>
      <c r="AD119" t="s">
        <v>151</v>
      </c>
    </row>
    <row r="120" spans="1:30" s="5" customFormat="1" x14ac:dyDescent="0.25">
      <c r="A120" s="5">
        <v>270</v>
      </c>
      <c r="B120" s="5" t="s">
        <v>187</v>
      </c>
      <c r="C120" s="5" t="s">
        <v>309</v>
      </c>
      <c r="D120" s="5" t="s">
        <v>139</v>
      </c>
      <c r="E120" s="5">
        <v>69</v>
      </c>
      <c r="F120" s="5">
        <v>82</v>
      </c>
      <c r="G120" s="5">
        <v>1</v>
      </c>
      <c r="H120" s="5">
        <v>339</v>
      </c>
      <c r="I120" s="5">
        <v>385</v>
      </c>
      <c r="J120" s="5">
        <v>88.1</v>
      </c>
      <c r="K120" s="6">
        <v>0.49199999999999999</v>
      </c>
      <c r="L120" s="5">
        <v>177</v>
      </c>
      <c r="M120" s="5">
        <v>183</v>
      </c>
      <c r="N120" s="6">
        <v>0.23400000000000001</v>
      </c>
      <c r="P120" s="6">
        <v>0.251</v>
      </c>
      <c r="Q120" s="5">
        <v>91</v>
      </c>
      <c r="S120" s="5">
        <v>97</v>
      </c>
      <c r="T120" s="5">
        <v>90.3</v>
      </c>
      <c r="U120" s="5" t="s">
        <v>310</v>
      </c>
      <c r="V120" s="5" t="s">
        <v>33</v>
      </c>
      <c r="W120" s="5">
        <v>100</v>
      </c>
      <c r="X120" s="5">
        <v>0.5</v>
      </c>
      <c r="Y120" s="5">
        <v>1</v>
      </c>
      <c r="Z120" s="5">
        <v>0</v>
      </c>
      <c r="AA120" s="5">
        <v>1</v>
      </c>
      <c r="AB120" s="5">
        <f>AC120+Z120</f>
        <v>92.8</v>
      </c>
      <c r="AC120" s="5">
        <v>92.8</v>
      </c>
      <c r="AD120" s="5" t="s">
        <v>311</v>
      </c>
    </row>
    <row r="121" spans="1:30" x14ac:dyDescent="0.25">
      <c r="A121">
        <v>438</v>
      </c>
      <c r="B121" t="s">
        <v>141</v>
      </c>
      <c r="C121" t="s">
        <v>312</v>
      </c>
      <c r="D121" t="s">
        <v>136</v>
      </c>
      <c r="E121">
        <v>61</v>
      </c>
      <c r="F121">
        <v>74</v>
      </c>
      <c r="G121">
        <v>0</v>
      </c>
      <c r="H121">
        <v>163</v>
      </c>
      <c r="I121">
        <v>190</v>
      </c>
      <c r="J121">
        <v>85.8</v>
      </c>
      <c r="K121" s="2">
        <v>0.58299999999999996</v>
      </c>
      <c r="L121">
        <v>95</v>
      </c>
      <c r="M121">
        <v>68</v>
      </c>
      <c r="N121" s="2">
        <v>0.192</v>
      </c>
      <c r="P121" s="2">
        <v>0.248</v>
      </c>
      <c r="Q121">
        <v>75</v>
      </c>
      <c r="S121">
        <v>96</v>
      </c>
      <c r="T121">
        <v>86.6</v>
      </c>
      <c r="U121" t="s">
        <v>56</v>
      </c>
      <c r="V121" t="s">
        <v>33</v>
      </c>
      <c r="W121">
        <v>100</v>
      </c>
      <c r="X121">
        <v>2</v>
      </c>
      <c r="Y121">
        <v>3</v>
      </c>
      <c r="Z121">
        <v>0</v>
      </c>
      <c r="AA121">
        <v>1</v>
      </c>
      <c r="AB121" s="8">
        <f>AC121+Z121</f>
        <v>92.6</v>
      </c>
      <c r="AC121">
        <v>92.6</v>
      </c>
    </row>
    <row r="122" spans="1:30" x14ac:dyDescent="0.25">
      <c r="A122">
        <v>570</v>
      </c>
      <c r="B122" t="s">
        <v>313</v>
      </c>
      <c r="C122" t="s">
        <v>314</v>
      </c>
      <c r="D122" t="s">
        <v>47</v>
      </c>
      <c r="E122">
        <v>62</v>
      </c>
      <c r="F122">
        <v>75</v>
      </c>
      <c r="G122">
        <v>0</v>
      </c>
      <c r="H122">
        <v>57</v>
      </c>
      <c r="I122">
        <v>66</v>
      </c>
      <c r="J122">
        <v>86.4</v>
      </c>
      <c r="K122" s="2">
        <v>0.45600000000000002</v>
      </c>
      <c r="L122">
        <v>26</v>
      </c>
      <c r="M122">
        <v>31</v>
      </c>
      <c r="N122" s="2">
        <v>0.23400000000000001</v>
      </c>
      <c r="P122" s="2">
        <v>0.20699999999999999</v>
      </c>
      <c r="Q122">
        <v>91</v>
      </c>
      <c r="S122">
        <v>80</v>
      </c>
      <c r="T122">
        <v>85.4</v>
      </c>
      <c r="U122" t="s">
        <v>56</v>
      </c>
      <c r="V122" t="s">
        <v>33</v>
      </c>
      <c r="W122">
        <v>100</v>
      </c>
      <c r="X122">
        <v>2.5</v>
      </c>
      <c r="Y122">
        <v>3</v>
      </c>
      <c r="Z122">
        <v>0</v>
      </c>
      <c r="AA122">
        <v>1</v>
      </c>
      <c r="AB122" s="8">
        <f>AC122+Z122</f>
        <v>91.9</v>
      </c>
      <c r="AC122">
        <v>91.9</v>
      </c>
      <c r="AD122" t="s">
        <v>224</v>
      </c>
    </row>
    <row r="123" spans="1:30" x14ac:dyDescent="0.25">
      <c r="A123">
        <v>606</v>
      </c>
      <c r="B123" t="s">
        <v>190</v>
      </c>
      <c r="C123" t="s">
        <v>315</v>
      </c>
      <c r="D123" t="s">
        <v>136</v>
      </c>
      <c r="E123">
        <v>57</v>
      </c>
      <c r="F123">
        <v>76</v>
      </c>
      <c r="G123">
        <v>1</v>
      </c>
      <c r="H123">
        <v>24</v>
      </c>
      <c r="I123">
        <v>42</v>
      </c>
      <c r="J123">
        <v>57.1</v>
      </c>
      <c r="K123" s="2">
        <v>0.41699999999999998</v>
      </c>
      <c r="L123">
        <v>10</v>
      </c>
      <c r="M123">
        <v>14</v>
      </c>
      <c r="N123" s="2">
        <v>0.22900000000000001</v>
      </c>
      <c r="O123" s="2">
        <v>0.221</v>
      </c>
      <c r="Q123">
        <v>90</v>
      </c>
      <c r="R123">
        <v>88</v>
      </c>
      <c r="T123">
        <v>88.8</v>
      </c>
      <c r="U123" t="s">
        <v>316</v>
      </c>
      <c r="V123" t="s">
        <v>192</v>
      </c>
      <c r="W123">
        <v>78.400000000000006</v>
      </c>
      <c r="X123">
        <v>2</v>
      </c>
      <c r="Y123">
        <v>5</v>
      </c>
      <c r="Z123">
        <v>0</v>
      </c>
      <c r="AA123">
        <v>-4</v>
      </c>
      <c r="AB123" s="8">
        <f>AC123+Z123</f>
        <v>91.8</v>
      </c>
      <c r="AC123">
        <v>91.8</v>
      </c>
      <c r="AD123" t="s">
        <v>317</v>
      </c>
    </row>
    <row r="124" spans="1:30" x14ac:dyDescent="0.25">
      <c r="A124">
        <v>202</v>
      </c>
      <c r="B124" t="s">
        <v>98</v>
      </c>
      <c r="C124" t="s">
        <v>318</v>
      </c>
      <c r="D124" t="s">
        <v>139</v>
      </c>
      <c r="E124">
        <v>70</v>
      </c>
      <c r="F124">
        <v>82</v>
      </c>
      <c r="G124">
        <v>0</v>
      </c>
      <c r="H124">
        <v>347</v>
      </c>
      <c r="I124">
        <v>383</v>
      </c>
      <c r="J124">
        <v>90.6</v>
      </c>
      <c r="K124" s="2">
        <v>0.52200000000000002</v>
      </c>
      <c r="L124">
        <v>239</v>
      </c>
      <c r="M124">
        <v>219</v>
      </c>
      <c r="N124" s="2">
        <v>0.217</v>
      </c>
      <c r="O124" s="2">
        <v>0.23499999999999999</v>
      </c>
      <c r="P124" s="2">
        <v>0.24399999999999999</v>
      </c>
      <c r="Q124">
        <v>85</v>
      </c>
      <c r="R124">
        <v>94</v>
      </c>
      <c r="S124">
        <v>94</v>
      </c>
      <c r="T124">
        <v>89.3</v>
      </c>
      <c r="U124" t="s">
        <v>32</v>
      </c>
      <c r="V124" t="s">
        <v>33</v>
      </c>
      <c r="W124">
        <v>100</v>
      </c>
      <c r="X124">
        <v>0.5</v>
      </c>
      <c r="Y124">
        <v>0</v>
      </c>
      <c r="Z124">
        <v>0</v>
      </c>
      <c r="AA124">
        <v>2</v>
      </c>
      <c r="AB124" s="8">
        <f>AC124+Z124</f>
        <v>91.8</v>
      </c>
      <c r="AC124">
        <v>91.8</v>
      </c>
    </row>
    <row r="125" spans="1:30" x14ac:dyDescent="0.25">
      <c r="A125">
        <v>603</v>
      </c>
      <c r="B125" t="s">
        <v>51</v>
      </c>
      <c r="C125" t="s">
        <v>319</v>
      </c>
      <c r="D125" t="s">
        <v>47</v>
      </c>
      <c r="E125">
        <v>50</v>
      </c>
      <c r="F125">
        <v>30</v>
      </c>
      <c r="G125">
        <v>2</v>
      </c>
      <c r="H125">
        <v>15</v>
      </c>
      <c r="I125">
        <v>42</v>
      </c>
      <c r="J125">
        <v>35.700000000000003</v>
      </c>
      <c r="K125" s="2">
        <v>0.46700000000000003</v>
      </c>
      <c r="L125">
        <v>7</v>
      </c>
      <c r="M125">
        <v>8</v>
      </c>
      <c r="N125" s="2">
        <v>0.23499999999999999</v>
      </c>
      <c r="O125" s="2">
        <v>0.20300000000000001</v>
      </c>
      <c r="Q125">
        <v>92</v>
      </c>
      <c r="R125">
        <v>81</v>
      </c>
      <c r="T125">
        <v>87.8</v>
      </c>
      <c r="U125" t="s">
        <v>316</v>
      </c>
      <c r="V125" t="s">
        <v>192</v>
      </c>
      <c r="W125">
        <v>78.400000000000006</v>
      </c>
      <c r="X125">
        <v>2.5</v>
      </c>
      <c r="Y125">
        <v>5</v>
      </c>
      <c r="Z125">
        <v>0</v>
      </c>
      <c r="AA125">
        <v>-4</v>
      </c>
      <c r="AB125" s="8">
        <f>AC125+Z125</f>
        <v>91.3</v>
      </c>
      <c r="AC125">
        <v>91.3</v>
      </c>
      <c r="AD125" t="s">
        <v>151</v>
      </c>
    </row>
    <row r="126" spans="1:30" x14ac:dyDescent="0.25">
      <c r="A126">
        <v>237</v>
      </c>
      <c r="B126" t="s">
        <v>126</v>
      </c>
      <c r="C126" t="s">
        <v>320</v>
      </c>
      <c r="D126" t="s">
        <v>31</v>
      </c>
      <c r="E126">
        <v>71</v>
      </c>
      <c r="F126">
        <v>80</v>
      </c>
      <c r="G126">
        <v>0</v>
      </c>
      <c r="H126">
        <v>337</v>
      </c>
      <c r="I126">
        <v>368</v>
      </c>
      <c r="J126">
        <v>91.6</v>
      </c>
      <c r="K126" s="2">
        <v>0.48099999999999998</v>
      </c>
      <c r="L126">
        <v>243</v>
      </c>
      <c r="M126">
        <v>262</v>
      </c>
      <c r="N126" s="2">
        <v>0.20799999999999999</v>
      </c>
      <c r="O126" s="2">
        <v>0.22500000000000001</v>
      </c>
      <c r="P126" s="2">
        <v>0.23300000000000001</v>
      </c>
      <c r="Q126">
        <v>81</v>
      </c>
      <c r="R126">
        <v>90</v>
      </c>
      <c r="S126">
        <v>90</v>
      </c>
      <c r="T126">
        <v>85.5</v>
      </c>
      <c r="U126" t="s">
        <v>32</v>
      </c>
      <c r="V126" t="s">
        <v>33</v>
      </c>
      <c r="W126">
        <v>100</v>
      </c>
      <c r="X126">
        <v>3.5</v>
      </c>
      <c r="Y126">
        <v>0</v>
      </c>
      <c r="Z126">
        <v>0</v>
      </c>
      <c r="AA126">
        <v>2</v>
      </c>
      <c r="AB126" s="8">
        <f>AC126+Z126</f>
        <v>91</v>
      </c>
      <c r="AC126">
        <v>91</v>
      </c>
    </row>
    <row r="127" spans="1:30" x14ac:dyDescent="0.25">
      <c r="A127">
        <v>502</v>
      </c>
      <c r="B127" t="s">
        <v>252</v>
      </c>
      <c r="C127" t="s">
        <v>321</v>
      </c>
      <c r="D127" t="s">
        <v>136</v>
      </c>
      <c r="E127">
        <v>65</v>
      </c>
      <c r="F127">
        <v>0</v>
      </c>
      <c r="G127">
        <v>0</v>
      </c>
      <c r="H127">
        <v>64</v>
      </c>
      <c r="I127">
        <v>66</v>
      </c>
      <c r="J127">
        <v>97</v>
      </c>
      <c r="K127" s="2">
        <v>0.40600000000000003</v>
      </c>
      <c r="L127">
        <v>26</v>
      </c>
      <c r="M127">
        <v>38</v>
      </c>
      <c r="N127" s="2">
        <v>0</v>
      </c>
      <c r="P127" s="2">
        <v>0.183</v>
      </c>
      <c r="Q127">
        <v>0</v>
      </c>
      <c r="S127">
        <v>71</v>
      </c>
      <c r="T127">
        <v>85.9</v>
      </c>
      <c r="U127" t="s">
        <v>43</v>
      </c>
      <c r="V127" t="s">
        <v>33</v>
      </c>
      <c r="W127">
        <v>100</v>
      </c>
      <c r="X127">
        <v>2</v>
      </c>
      <c r="Y127">
        <v>1</v>
      </c>
      <c r="Z127">
        <v>0</v>
      </c>
      <c r="AA127">
        <v>2</v>
      </c>
      <c r="AB127" s="8">
        <f>AC127+Z127</f>
        <v>90.9</v>
      </c>
      <c r="AC127">
        <v>90.9</v>
      </c>
      <c r="AD127" t="s">
        <v>322</v>
      </c>
    </row>
    <row r="128" spans="1:30" x14ac:dyDescent="0.25">
      <c r="A128">
        <v>469</v>
      </c>
      <c r="B128" t="s">
        <v>328</v>
      </c>
      <c r="C128" t="s">
        <v>329</v>
      </c>
      <c r="D128" t="s">
        <v>47</v>
      </c>
      <c r="E128">
        <v>69</v>
      </c>
      <c r="F128">
        <v>75</v>
      </c>
      <c r="G128">
        <v>0</v>
      </c>
      <c r="H128">
        <v>145</v>
      </c>
      <c r="I128">
        <v>172</v>
      </c>
      <c r="J128">
        <v>84.3</v>
      </c>
      <c r="K128" s="2">
        <v>0.55200000000000005</v>
      </c>
      <c r="L128">
        <v>80</v>
      </c>
      <c r="M128">
        <v>65</v>
      </c>
      <c r="N128" s="2">
        <v>0.188</v>
      </c>
      <c r="P128" s="2">
        <v>0.247</v>
      </c>
      <c r="Q128">
        <v>74</v>
      </c>
      <c r="S128">
        <v>95</v>
      </c>
      <c r="T128">
        <v>84.4</v>
      </c>
      <c r="U128" t="s">
        <v>56</v>
      </c>
      <c r="V128" t="s">
        <v>33</v>
      </c>
      <c r="W128">
        <v>100</v>
      </c>
      <c r="X128">
        <v>2.5</v>
      </c>
      <c r="Y128">
        <v>1</v>
      </c>
      <c r="Z128">
        <v>2</v>
      </c>
      <c r="AA128">
        <v>1</v>
      </c>
      <c r="AB128" s="8">
        <f>AC128+Z128</f>
        <v>90.9</v>
      </c>
      <c r="AC128">
        <v>88.9</v>
      </c>
      <c r="AD128" t="s">
        <v>330</v>
      </c>
    </row>
    <row r="129" spans="1:30" x14ac:dyDescent="0.25">
      <c r="A129">
        <v>359</v>
      </c>
      <c r="B129" t="s">
        <v>98</v>
      </c>
      <c r="C129" t="s">
        <v>323</v>
      </c>
      <c r="D129" t="s">
        <v>143</v>
      </c>
      <c r="E129">
        <v>65</v>
      </c>
      <c r="F129">
        <v>78</v>
      </c>
      <c r="G129">
        <v>0</v>
      </c>
      <c r="H129">
        <v>334</v>
      </c>
      <c r="I129">
        <v>377</v>
      </c>
      <c r="J129">
        <v>88.6</v>
      </c>
      <c r="K129" s="2">
        <v>0.38900000000000001</v>
      </c>
      <c r="L129">
        <v>130</v>
      </c>
      <c r="M129">
        <v>204</v>
      </c>
      <c r="N129" s="2">
        <v>0.20699999999999999</v>
      </c>
      <c r="O129" s="2">
        <v>0.26700000000000002</v>
      </c>
      <c r="P129" s="2">
        <v>0.184</v>
      </c>
      <c r="Q129">
        <v>81</v>
      </c>
      <c r="R129">
        <v>106</v>
      </c>
      <c r="S129">
        <v>71</v>
      </c>
      <c r="T129">
        <v>86.7</v>
      </c>
      <c r="U129" t="s">
        <v>32</v>
      </c>
      <c r="V129" t="s">
        <v>33</v>
      </c>
      <c r="W129">
        <v>100</v>
      </c>
      <c r="X129">
        <v>1.5</v>
      </c>
      <c r="Y129">
        <v>1</v>
      </c>
      <c r="Z129">
        <v>0</v>
      </c>
      <c r="AA129">
        <v>1</v>
      </c>
      <c r="AB129" s="8">
        <f>AC129+Z129</f>
        <v>90.2</v>
      </c>
      <c r="AC129">
        <v>90.2</v>
      </c>
      <c r="AD129" t="s">
        <v>324</v>
      </c>
    </row>
    <row r="130" spans="1:30" x14ac:dyDescent="0.25">
      <c r="A130" s="5">
        <v>218</v>
      </c>
      <c r="B130" s="5" t="s">
        <v>98</v>
      </c>
      <c r="C130" s="5" t="s">
        <v>325</v>
      </c>
      <c r="D130" s="5" t="s">
        <v>136</v>
      </c>
      <c r="E130" s="5">
        <v>70</v>
      </c>
      <c r="F130" s="5">
        <v>81</v>
      </c>
      <c r="G130" s="5">
        <v>0</v>
      </c>
      <c r="H130" s="5">
        <v>372</v>
      </c>
      <c r="I130" s="5">
        <v>383</v>
      </c>
      <c r="J130" s="5">
        <v>97.1</v>
      </c>
      <c r="K130" s="6">
        <v>0.45400000000000001</v>
      </c>
      <c r="L130" s="5">
        <v>258</v>
      </c>
      <c r="M130" s="5">
        <v>310</v>
      </c>
      <c r="N130" s="6">
        <v>0.22800000000000001</v>
      </c>
      <c r="O130" s="6">
        <v>0.20300000000000001</v>
      </c>
      <c r="P130" s="6">
        <v>0.22600000000000001</v>
      </c>
      <c r="Q130" s="5">
        <v>89</v>
      </c>
      <c r="R130" s="5">
        <v>81</v>
      </c>
      <c r="S130" s="5">
        <v>87</v>
      </c>
      <c r="T130" s="5">
        <v>86.2</v>
      </c>
      <c r="U130" s="5" t="s">
        <v>32</v>
      </c>
      <c r="V130" s="5" t="s">
        <v>33</v>
      </c>
      <c r="W130" s="5">
        <v>100</v>
      </c>
      <c r="X130" s="5">
        <v>2</v>
      </c>
      <c r="Y130" s="5">
        <v>0</v>
      </c>
      <c r="Z130" s="5">
        <v>0</v>
      </c>
      <c r="AA130" s="5">
        <v>2</v>
      </c>
      <c r="AB130" s="5">
        <f>AC130+Z130</f>
        <v>90.2</v>
      </c>
      <c r="AC130" s="5">
        <v>90.2</v>
      </c>
      <c r="AD130" s="5" t="s">
        <v>173</v>
      </c>
    </row>
    <row r="131" spans="1:30" x14ac:dyDescent="0.25">
      <c r="A131">
        <v>210</v>
      </c>
      <c r="B131" t="s">
        <v>326</v>
      </c>
      <c r="C131" t="s">
        <v>327</v>
      </c>
      <c r="D131" t="s">
        <v>92</v>
      </c>
      <c r="E131">
        <v>79</v>
      </c>
      <c r="F131">
        <v>69</v>
      </c>
      <c r="G131">
        <v>0</v>
      </c>
      <c r="H131">
        <v>259</v>
      </c>
      <c r="I131">
        <v>346</v>
      </c>
      <c r="J131">
        <v>74.900000000000006</v>
      </c>
      <c r="K131" s="2">
        <v>0.47599999999999998</v>
      </c>
      <c r="L131">
        <v>197</v>
      </c>
      <c r="M131">
        <v>217</v>
      </c>
      <c r="N131" s="2">
        <v>0.23400000000000001</v>
      </c>
      <c r="O131" s="2">
        <v>0.219</v>
      </c>
      <c r="P131" s="2">
        <v>0.23300000000000001</v>
      </c>
      <c r="Q131">
        <v>91</v>
      </c>
      <c r="R131">
        <v>87</v>
      </c>
      <c r="S131">
        <v>90</v>
      </c>
      <c r="T131">
        <v>89.9</v>
      </c>
      <c r="U131" t="s">
        <v>32</v>
      </c>
      <c r="V131" t="s">
        <v>33</v>
      </c>
      <c r="W131">
        <v>100</v>
      </c>
      <c r="X131">
        <v>1.5</v>
      </c>
      <c r="Y131">
        <v>-2</v>
      </c>
      <c r="Z131">
        <v>0</v>
      </c>
      <c r="AA131">
        <v>0</v>
      </c>
      <c r="AB131" s="8">
        <f>AC131+Z131</f>
        <v>89.4</v>
      </c>
      <c r="AC131">
        <v>89.4</v>
      </c>
    </row>
    <row r="132" spans="1:30" x14ac:dyDescent="0.25">
      <c r="A132">
        <v>421</v>
      </c>
      <c r="B132" t="s">
        <v>35</v>
      </c>
      <c r="C132" t="s">
        <v>331</v>
      </c>
      <c r="D132" t="s">
        <v>192</v>
      </c>
      <c r="E132">
        <v>63</v>
      </c>
      <c r="F132">
        <v>0</v>
      </c>
      <c r="G132">
        <v>0</v>
      </c>
      <c r="H132">
        <v>188</v>
      </c>
      <c r="I132">
        <v>244</v>
      </c>
      <c r="J132">
        <v>77</v>
      </c>
      <c r="K132" s="2">
        <v>0.441</v>
      </c>
      <c r="L132">
        <v>83</v>
      </c>
      <c r="M132">
        <v>105</v>
      </c>
      <c r="N132" s="2">
        <v>0</v>
      </c>
      <c r="O132" s="2">
        <v>0.23400000000000001</v>
      </c>
      <c r="Q132">
        <v>0</v>
      </c>
      <c r="R132">
        <v>93</v>
      </c>
      <c r="T132">
        <v>85.5</v>
      </c>
      <c r="U132" t="s">
        <v>197</v>
      </c>
      <c r="V132" t="s">
        <v>192</v>
      </c>
      <c r="W132">
        <v>74.5</v>
      </c>
      <c r="X132">
        <v>0</v>
      </c>
      <c r="Y132">
        <v>3</v>
      </c>
      <c r="Z132">
        <v>0</v>
      </c>
      <c r="AA132">
        <v>0</v>
      </c>
      <c r="AB132" s="8">
        <f>AC132+Z132</f>
        <v>88.5</v>
      </c>
      <c r="AC132">
        <v>88.5</v>
      </c>
      <c r="AD132" t="s">
        <v>324</v>
      </c>
    </row>
    <row r="133" spans="1:30" x14ac:dyDescent="0.25">
      <c r="A133">
        <v>593</v>
      </c>
      <c r="B133" t="s">
        <v>29</v>
      </c>
      <c r="C133" t="s">
        <v>332</v>
      </c>
      <c r="D133" t="s">
        <v>47</v>
      </c>
      <c r="E133">
        <v>62</v>
      </c>
      <c r="F133">
        <v>0</v>
      </c>
      <c r="G133">
        <v>0</v>
      </c>
      <c r="H133">
        <v>13</v>
      </c>
      <c r="I133">
        <v>22</v>
      </c>
      <c r="J133">
        <v>59.1</v>
      </c>
      <c r="K133" s="2">
        <v>0.53800000000000003</v>
      </c>
      <c r="L133">
        <v>7</v>
      </c>
      <c r="M133">
        <v>6</v>
      </c>
      <c r="N133" s="2">
        <v>0</v>
      </c>
      <c r="P133" s="2">
        <v>0.22500000000000001</v>
      </c>
      <c r="Q133">
        <v>0</v>
      </c>
      <c r="S133">
        <v>87</v>
      </c>
      <c r="T133">
        <v>86.9</v>
      </c>
      <c r="U133" t="s">
        <v>102</v>
      </c>
      <c r="V133" t="s">
        <v>86</v>
      </c>
      <c r="W133">
        <v>69.099999999999994</v>
      </c>
      <c r="X133">
        <v>2.5</v>
      </c>
      <c r="Y133">
        <v>3</v>
      </c>
      <c r="Z133">
        <v>0</v>
      </c>
      <c r="AA133">
        <v>-4</v>
      </c>
      <c r="AB133" s="8">
        <f>AC133+Z133</f>
        <v>88.4</v>
      </c>
      <c r="AC133">
        <v>88.4</v>
      </c>
      <c r="AD133" t="s">
        <v>333</v>
      </c>
    </row>
    <row r="134" spans="1:30" x14ac:dyDescent="0.25">
      <c r="A134">
        <v>528</v>
      </c>
      <c r="B134" t="s">
        <v>35</v>
      </c>
      <c r="C134" t="s">
        <v>334</v>
      </c>
      <c r="D134" t="s">
        <v>143</v>
      </c>
      <c r="E134">
        <v>59</v>
      </c>
      <c r="F134">
        <v>63</v>
      </c>
      <c r="G134">
        <v>0</v>
      </c>
      <c r="H134">
        <v>132</v>
      </c>
      <c r="I134">
        <v>147</v>
      </c>
      <c r="J134">
        <v>89.8</v>
      </c>
      <c r="K134" s="2">
        <v>0.48499999999999999</v>
      </c>
      <c r="L134">
        <v>64</v>
      </c>
      <c r="M134">
        <v>68</v>
      </c>
      <c r="N134" s="2">
        <v>0.17799999999999999</v>
      </c>
      <c r="O134" s="2">
        <v>0.224</v>
      </c>
      <c r="P134" s="2">
        <v>0.23200000000000001</v>
      </c>
      <c r="Q134">
        <v>70</v>
      </c>
      <c r="R134">
        <v>89</v>
      </c>
      <c r="S134">
        <v>90</v>
      </c>
      <c r="T134">
        <v>79.5</v>
      </c>
      <c r="U134" t="s">
        <v>32</v>
      </c>
      <c r="V134" t="s">
        <v>33</v>
      </c>
      <c r="W134">
        <v>100</v>
      </c>
      <c r="X134">
        <v>1.5</v>
      </c>
      <c r="Y134">
        <v>5</v>
      </c>
      <c r="Z134">
        <v>1</v>
      </c>
      <c r="AA134">
        <v>1</v>
      </c>
      <c r="AB134" s="8">
        <f>AC134+Z134</f>
        <v>88</v>
      </c>
      <c r="AC134">
        <v>87</v>
      </c>
    </row>
    <row r="135" spans="1:30" x14ac:dyDescent="0.25">
      <c r="A135">
        <v>561</v>
      </c>
      <c r="B135" t="s">
        <v>58</v>
      </c>
      <c r="C135" t="s">
        <v>335</v>
      </c>
      <c r="D135" t="s">
        <v>143</v>
      </c>
      <c r="E135">
        <v>59</v>
      </c>
      <c r="F135">
        <v>63</v>
      </c>
      <c r="G135">
        <v>1</v>
      </c>
      <c r="H135">
        <v>74</v>
      </c>
      <c r="I135">
        <v>83</v>
      </c>
      <c r="J135">
        <v>89.2</v>
      </c>
      <c r="K135" s="2">
        <v>0.59499999999999997</v>
      </c>
      <c r="L135">
        <v>44</v>
      </c>
      <c r="M135">
        <v>30</v>
      </c>
      <c r="N135" s="2">
        <v>0.23</v>
      </c>
      <c r="O135" s="2">
        <v>0.152</v>
      </c>
      <c r="P135" s="2">
        <v>0.20799999999999999</v>
      </c>
      <c r="Q135">
        <v>90</v>
      </c>
      <c r="R135">
        <v>61</v>
      </c>
      <c r="S135">
        <v>80</v>
      </c>
      <c r="T135">
        <v>79.2</v>
      </c>
      <c r="U135" t="s">
        <v>32</v>
      </c>
      <c r="V135" t="s">
        <v>33</v>
      </c>
      <c r="W135">
        <v>100</v>
      </c>
      <c r="X135">
        <v>1.5</v>
      </c>
      <c r="Y135">
        <v>5</v>
      </c>
      <c r="Z135">
        <v>0</v>
      </c>
      <c r="AA135">
        <v>1</v>
      </c>
      <c r="AB135" s="8">
        <f>AC135+Z135</f>
        <v>86.7</v>
      </c>
      <c r="AC135">
        <v>86.7</v>
      </c>
    </row>
    <row r="136" spans="1:30" x14ac:dyDescent="0.25">
      <c r="A136">
        <v>299</v>
      </c>
      <c r="B136" t="s">
        <v>336</v>
      </c>
      <c r="C136" t="s">
        <v>337</v>
      </c>
      <c r="D136" t="s">
        <v>192</v>
      </c>
      <c r="E136">
        <v>70</v>
      </c>
      <c r="F136">
        <v>0</v>
      </c>
      <c r="G136">
        <v>0</v>
      </c>
      <c r="H136">
        <v>179</v>
      </c>
      <c r="I136">
        <v>235</v>
      </c>
      <c r="J136">
        <v>76.2</v>
      </c>
      <c r="K136" s="2">
        <v>0.48599999999999999</v>
      </c>
      <c r="L136">
        <v>87</v>
      </c>
      <c r="M136">
        <v>92</v>
      </c>
      <c r="N136" s="2">
        <v>0</v>
      </c>
      <c r="P136" s="2">
        <v>0.249</v>
      </c>
      <c r="Q136">
        <v>0</v>
      </c>
      <c r="S136">
        <v>96</v>
      </c>
      <c r="T136">
        <v>86.4</v>
      </c>
      <c r="U136" t="s">
        <v>338</v>
      </c>
      <c r="V136" t="s">
        <v>33</v>
      </c>
      <c r="W136">
        <v>97.5</v>
      </c>
      <c r="X136">
        <v>0</v>
      </c>
      <c r="Y136">
        <v>0</v>
      </c>
      <c r="Z136">
        <v>0</v>
      </c>
      <c r="AA136">
        <v>0</v>
      </c>
      <c r="AB136" s="8">
        <f>AC136+Z136</f>
        <v>86.4</v>
      </c>
      <c r="AC136">
        <v>86.4</v>
      </c>
      <c r="AD136" t="s">
        <v>173</v>
      </c>
    </row>
    <row r="137" spans="1:30" x14ac:dyDescent="0.25">
      <c r="A137">
        <v>594</v>
      </c>
      <c r="B137" t="s">
        <v>339</v>
      </c>
      <c r="C137" t="s">
        <v>340</v>
      </c>
      <c r="D137" t="s">
        <v>136</v>
      </c>
      <c r="E137">
        <v>60</v>
      </c>
      <c r="F137">
        <v>0</v>
      </c>
      <c r="G137">
        <v>0</v>
      </c>
      <c r="H137">
        <v>15</v>
      </c>
      <c r="I137">
        <v>22</v>
      </c>
      <c r="J137">
        <v>68.2</v>
      </c>
      <c r="K137" s="2">
        <v>0.33300000000000002</v>
      </c>
      <c r="L137">
        <v>5</v>
      </c>
      <c r="M137">
        <v>10</v>
      </c>
      <c r="N137" s="2">
        <v>0</v>
      </c>
      <c r="P137" s="2">
        <v>0.216</v>
      </c>
      <c r="Q137">
        <v>0</v>
      </c>
      <c r="S137">
        <v>83</v>
      </c>
      <c r="T137">
        <v>83.4</v>
      </c>
      <c r="U137" t="s">
        <v>102</v>
      </c>
      <c r="V137" t="s">
        <v>86</v>
      </c>
      <c r="W137">
        <v>69.099999999999994</v>
      </c>
      <c r="X137">
        <v>2</v>
      </c>
      <c r="Y137">
        <v>3</v>
      </c>
      <c r="Z137">
        <v>0</v>
      </c>
      <c r="AA137">
        <v>-2</v>
      </c>
      <c r="AB137" s="8">
        <f>AC137+Z137</f>
        <v>86.4</v>
      </c>
      <c r="AC137">
        <v>86.4</v>
      </c>
      <c r="AD137" t="s">
        <v>341</v>
      </c>
    </row>
    <row r="138" spans="1:30" x14ac:dyDescent="0.25">
      <c r="A138">
        <v>541</v>
      </c>
      <c r="B138" t="s">
        <v>342</v>
      </c>
      <c r="C138" t="s">
        <v>274</v>
      </c>
      <c r="D138" t="s">
        <v>47</v>
      </c>
      <c r="E138">
        <v>64</v>
      </c>
      <c r="F138">
        <v>61</v>
      </c>
      <c r="G138">
        <v>0</v>
      </c>
      <c r="H138">
        <v>112</v>
      </c>
      <c r="I138">
        <v>128</v>
      </c>
      <c r="J138">
        <v>87.5</v>
      </c>
      <c r="K138" s="2">
        <v>0.55400000000000005</v>
      </c>
      <c r="L138">
        <v>62</v>
      </c>
      <c r="M138">
        <v>50</v>
      </c>
      <c r="N138" s="2">
        <v>0.18099999999999999</v>
      </c>
      <c r="O138" s="2">
        <v>0.214</v>
      </c>
      <c r="P138" s="2">
        <v>0.22500000000000001</v>
      </c>
      <c r="Q138">
        <v>71</v>
      </c>
      <c r="R138">
        <v>85</v>
      </c>
      <c r="S138">
        <v>87</v>
      </c>
      <c r="T138">
        <v>78.5</v>
      </c>
      <c r="U138" t="s">
        <v>32</v>
      </c>
      <c r="V138" t="s">
        <v>33</v>
      </c>
      <c r="W138">
        <v>100</v>
      </c>
      <c r="X138">
        <v>2.5</v>
      </c>
      <c r="Y138">
        <v>3</v>
      </c>
      <c r="Z138">
        <v>0</v>
      </c>
      <c r="AA138">
        <v>1</v>
      </c>
      <c r="AB138" s="8">
        <f>AC138+Z138</f>
        <v>85</v>
      </c>
      <c r="AC138">
        <v>85</v>
      </c>
    </row>
    <row r="139" spans="1:30" x14ac:dyDescent="0.25">
      <c r="A139">
        <v>245</v>
      </c>
      <c r="B139" t="s">
        <v>183</v>
      </c>
      <c r="C139" t="s">
        <v>353</v>
      </c>
      <c r="D139" t="s">
        <v>136</v>
      </c>
      <c r="E139">
        <v>64</v>
      </c>
      <c r="F139">
        <v>59</v>
      </c>
      <c r="G139">
        <v>0</v>
      </c>
      <c r="H139">
        <v>280</v>
      </c>
      <c r="I139">
        <v>382</v>
      </c>
      <c r="J139">
        <v>73.3</v>
      </c>
      <c r="K139" s="2">
        <v>0.496</v>
      </c>
      <c r="L139">
        <v>188</v>
      </c>
      <c r="M139">
        <v>191</v>
      </c>
      <c r="N139" s="2">
        <v>0.2</v>
      </c>
      <c r="P139" s="2">
        <v>0.20799999999999999</v>
      </c>
      <c r="Q139">
        <v>78</v>
      </c>
      <c r="S139">
        <v>80</v>
      </c>
      <c r="T139">
        <v>78.7</v>
      </c>
      <c r="U139" t="s">
        <v>56</v>
      </c>
      <c r="V139" t="s">
        <v>33</v>
      </c>
      <c r="W139">
        <v>100</v>
      </c>
      <c r="X139">
        <v>2</v>
      </c>
      <c r="Y139">
        <v>3</v>
      </c>
      <c r="Z139">
        <v>1</v>
      </c>
      <c r="AA139">
        <v>0</v>
      </c>
      <c r="AB139" s="8">
        <f>AC139+Z139</f>
        <v>84.7</v>
      </c>
      <c r="AC139">
        <v>83.7</v>
      </c>
      <c r="AD139" t="s">
        <v>354</v>
      </c>
    </row>
    <row r="140" spans="1:30" x14ac:dyDescent="0.25">
      <c r="A140">
        <v>70</v>
      </c>
      <c r="B140" t="s">
        <v>218</v>
      </c>
      <c r="C140" t="s">
        <v>343</v>
      </c>
      <c r="D140" t="s">
        <v>42</v>
      </c>
      <c r="E140">
        <v>76</v>
      </c>
      <c r="F140">
        <v>70</v>
      </c>
      <c r="G140">
        <v>0</v>
      </c>
      <c r="H140">
        <v>347</v>
      </c>
      <c r="I140">
        <v>361</v>
      </c>
      <c r="J140">
        <v>96.1</v>
      </c>
      <c r="K140" s="2">
        <v>0.54600000000000004</v>
      </c>
      <c r="L140">
        <v>413</v>
      </c>
      <c r="M140">
        <v>344</v>
      </c>
      <c r="N140" s="2">
        <v>0.19600000000000001</v>
      </c>
      <c r="P140" s="2">
        <v>0.224</v>
      </c>
      <c r="Q140">
        <v>77</v>
      </c>
      <c r="S140">
        <v>87</v>
      </c>
      <c r="T140">
        <v>83.3</v>
      </c>
      <c r="U140" t="s">
        <v>56</v>
      </c>
      <c r="V140" t="s">
        <v>33</v>
      </c>
      <c r="W140">
        <v>100</v>
      </c>
      <c r="X140">
        <v>1</v>
      </c>
      <c r="Y140">
        <v>-2</v>
      </c>
      <c r="Z140">
        <v>0</v>
      </c>
      <c r="AA140">
        <v>2</v>
      </c>
      <c r="AB140" s="8">
        <f>AC140+Z140</f>
        <v>84.3</v>
      </c>
      <c r="AC140">
        <v>84.3</v>
      </c>
      <c r="AD140" t="s">
        <v>344</v>
      </c>
    </row>
    <row r="141" spans="1:30" x14ac:dyDescent="0.25">
      <c r="A141">
        <v>23</v>
      </c>
      <c r="B141" t="s">
        <v>54</v>
      </c>
      <c r="C141" t="s">
        <v>355</v>
      </c>
      <c r="D141" t="s">
        <v>192</v>
      </c>
      <c r="E141">
        <v>80</v>
      </c>
      <c r="F141">
        <v>0</v>
      </c>
      <c r="G141">
        <v>0</v>
      </c>
      <c r="H141">
        <v>293</v>
      </c>
      <c r="I141">
        <v>400</v>
      </c>
      <c r="J141">
        <v>73.2</v>
      </c>
      <c r="K141" s="2">
        <v>0.52900000000000003</v>
      </c>
      <c r="L141">
        <v>226</v>
      </c>
      <c r="M141">
        <v>201</v>
      </c>
      <c r="N141" s="2">
        <v>0</v>
      </c>
      <c r="P141" s="2">
        <v>0.20499999999999999</v>
      </c>
      <c r="Q141">
        <v>0</v>
      </c>
      <c r="S141">
        <v>79</v>
      </c>
      <c r="T141">
        <v>87.3</v>
      </c>
      <c r="U141" t="s">
        <v>106</v>
      </c>
      <c r="V141" t="s">
        <v>33</v>
      </c>
      <c r="W141">
        <v>100</v>
      </c>
      <c r="X141">
        <v>0</v>
      </c>
      <c r="Y141">
        <v>-4</v>
      </c>
      <c r="Z141">
        <v>1</v>
      </c>
      <c r="AA141">
        <v>0</v>
      </c>
      <c r="AB141" s="8">
        <f>AC141+Z141</f>
        <v>84.3</v>
      </c>
      <c r="AC141">
        <v>83.3</v>
      </c>
      <c r="AD141" t="s">
        <v>356</v>
      </c>
    </row>
    <row r="142" spans="1:30" x14ac:dyDescent="0.25">
      <c r="A142">
        <v>508</v>
      </c>
      <c r="B142" t="s">
        <v>345</v>
      </c>
      <c r="C142" t="s">
        <v>346</v>
      </c>
      <c r="D142" t="s">
        <v>139</v>
      </c>
      <c r="E142">
        <v>67</v>
      </c>
      <c r="F142">
        <v>0</v>
      </c>
      <c r="G142">
        <v>0</v>
      </c>
      <c r="H142">
        <v>61</v>
      </c>
      <c r="I142">
        <v>66</v>
      </c>
      <c r="J142">
        <v>92.4</v>
      </c>
      <c r="K142" s="2">
        <v>0.47499999999999998</v>
      </c>
      <c r="L142">
        <v>29</v>
      </c>
      <c r="M142">
        <v>32</v>
      </c>
      <c r="N142" s="2">
        <v>0</v>
      </c>
      <c r="P142" s="2">
        <v>0.191</v>
      </c>
      <c r="Q142">
        <v>0</v>
      </c>
      <c r="S142">
        <v>74</v>
      </c>
      <c r="T142">
        <v>80.599999999999994</v>
      </c>
      <c r="U142" t="s">
        <v>43</v>
      </c>
      <c r="V142" t="s">
        <v>33</v>
      </c>
      <c r="W142">
        <v>100</v>
      </c>
      <c r="X142">
        <v>0.5</v>
      </c>
      <c r="Y142">
        <v>1</v>
      </c>
      <c r="Z142">
        <v>0</v>
      </c>
      <c r="AA142">
        <v>2</v>
      </c>
      <c r="AB142" s="8">
        <f>AC142+Z142</f>
        <v>84.1</v>
      </c>
      <c r="AC142">
        <v>84.1</v>
      </c>
    </row>
    <row r="143" spans="1:30" x14ac:dyDescent="0.25">
      <c r="A143">
        <v>427</v>
      </c>
      <c r="B143" t="s">
        <v>104</v>
      </c>
      <c r="C143" t="s">
        <v>347</v>
      </c>
      <c r="D143" t="s">
        <v>136</v>
      </c>
      <c r="E143">
        <v>69</v>
      </c>
      <c r="F143">
        <v>78</v>
      </c>
      <c r="G143">
        <v>0</v>
      </c>
      <c r="H143">
        <v>273</v>
      </c>
      <c r="I143">
        <v>284</v>
      </c>
      <c r="J143">
        <v>96.1</v>
      </c>
      <c r="K143" s="2">
        <v>0.44700000000000001</v>
      </c>
      <c r="L143">
        <v>122</v>
      </c>
      <c r="M143">
        <v>151</v>
      </c>
      <c r="N143" s="2">
        <v>0.2</v>
      </c>
      <c r="O143" s="2">
        <v>0.183</v>
      </c>
      <c r="P143" s="2">
        <v>0.23200000000000001</v>
      </c>
      <c r="Q143">
        <v>78</v>
      </c>
      <c r="R143">
        <v>73</v>
      </c>
      <c r="S143">
        <v>90</v>
      </c>
      <c r="T143">
        <v>78.900000000000006</v>
      </c>
      <c r="U143" t="s">
        <v>32</v>
      </c>
      <c r="V143" t="s">
        <v>33</v>
      </c>
      <c r="W143">
        <v>100</v>
      </c>
      <c r="X143">
        <v>2</v>
      </c>
      <c r="Y143">
        <v>1</v>
      </c>
      <c r="Z143">
        <v>0</v>
      </c>
      <c r="AA143">
        <v>2</v>
      </c>
      <c r="AB143" s="8">
        <f>AC143+Z143</f>
        <v>83.9</v>
      </c>
      <c r="AC143">
        <v>83.9</v>
      </c>
      <c r="AD143" t="s">
        <v>348</v>
      </c>
    </row>
    <row r="144" spans="1:30" x14ac:dyDescent="0.25">
      <c r="A144">
        <v>420</v>
      </c>
      <c r="B144" t="s">
        <v>282</v>
      </c>
      <c r="C144" t="s">
        <v>349</v>
      </c>
      <c r="D144" t="s">
        <v>139</v>
      </c>
      <c r="E144">
        <v>67</v>
      </c>
      <c r="F144">
        <v>79</v>
      </c>
      <c r="G144">
        <v>0</v>
      </c>
      <c r="H144">
        <v>292</v>
      </c>
      <c r="I144">
        <v>308</v>
      </c>
      <c r="J144">
        <v>94.8</v>
      </c>
      <c r="K144" s="2">
        <v>0.53100000000000003</v>
      </c>
      <c r="L144">
        <v>155</v>
      </c>
      <c r="M144">
        <v>137</v>
      </c>
      <c r="N144" s="2">
        <v>0.20200000000000001</v>
      </c>
      <c r="O144" s="2">
        <v>0.2</v>
      </c>
      <c r="P144" s="2">
        <v>0.22</v>
      </c>
      <c r="Q144">
        <v>79</v>
      </c>
      <c r="R144">
        <v>80</v>
      </c>
      <c r="S144">
        <v>85</v>
      </c>
      <c r="T144">
        <v>80.400000000000006</v>
      </c>
      <c r="U144" t="s">
        <v>32</v>
      </c>
      <c r="V144" t="s">
        <v>33</v>
      </c>
      <c r="W144">
        <v>100</v>
      </c>
      <c r="X144">
        <v>0.5</v>
      </c>
      <c r="Y144">
        <v>1</v>
      </c>
      <c r="Z144">
        <v>0</v>
      </c>
      <c r="AA144">
        <v>2</v>
      </c>
      <c r="AB144" s="8">
        <f>AC144+Z144</f>
        <v>83.9</v>
      </c>
      <c r="AC144">
        <v>83.9</v>
      </c>
      <c r="AD144" t="s">
        <v>350</v>
      </c>
    </row>
    <row r="145" spans="1:30" s="5" customFormat="1" x14ac:dyDescent="0.25">
      <c r="A145">
        <v>271</v>
      </c>
      <c r="B145" t="s">
        <v>351</v>
      </c>
      <c r="C145" t="s">
        <v>352</v>
      </c>
      <c r="D145" t="s">
        <v>192</v>
      </c>
      <c r="E145">
        <v>68</v>
      </c>
      <c r="F145">
        <v>77</v>
      </c>
      <c r="G145">
        <v>0</v>
      </c>
      <c r="H145">
        <v>355</v>
      </c>
      <c r="I145">
        <v>384</v>
      </c>
      <c r="J145">
        <v>92.4</v>
      </c>
      <c r="K145" s="2">
        <v>0.53300000000000003</v>
      </c>
      <c r="L145">
        <v>255</v>
      </c>
      <c r="M145">
        <v>223</v>
      </c>
      <c r="N145" s="2">
        <v>0.17799999999999999</v>
      </c>
      <c r="O145" s="2">
        <v>0.22700000000000001</v>
      </c>
      <c r="P145" s="2">
        <v>0.245</v>
      </c>
      <c r="Q145">
        <v>70</v>
      </c>
      <c r="R145">
        <v>90</v>
      </c>
      <c r="S145">
        <v>95</v>
      </c>
      <c r="T145">
        <v>80.8</v>
      </c>
      <c r="U145" t="s">
        <v>32</v>
      </c>
      <c r="V145" t="s">
        <v>33</v>
      </c>
      <c r="W145">
        <v>100</v>
      </c>
      <c r="X145">
        <v>0</v>
      </c>
      <c r="Y145">
        <v>1</v>
      </c>
      <c r="Z145">
        <v>0</v>
      </c>
      <c r="AA145">
        <v>2</v>
      </c>
      <c r="AB145" s="8">
        <f>AC145+Z145</f>
        <v>83.8</v>
      </c>
      <c r="AC145">
        <v>83.8</v>
      </c>
      <c r="AD145" t="s">
        <v>151</v>
      </c>
    </row>
    <row r="146" spans="1:30" x14ac:dyDescent="0.25">
      <c r="A146">
        <v>133</v>
      </c>
      <c r="B146" t="s">
        <v>357</v>
      </c>
      <c r="C146" t="s">
        <v>358</v>
      </c>
      <c r="D146" t="s">
        <v>92</v>
      </c>
      <c r="E146">
        <v>69</v>
      </c>
      <c r="F146">
        <v>64</v>
      </c>
      <c r="G146">
        <v>0</v>
      </c>
      <c r="H146">
        <v>288</v>
      </c>
      <c r="I146">
        <v>350</v>
      </c>
      <c r="J146">
        <v>82.3</v>
      </c>
      <c r="K146" s="2">
        <v>0.53100000000000003</v>
      </c>
      <c r="L146">
        <v>329</v>
      </c>
      <c r="M146">
        <v>291</v>
      </c>
      <c r="N146" s="2">
        <v>0.193</v>
      </c>
      <c r="O146" s="2">
        <v>0.18</v>
      </c>
      <c r="P146" s="2">
        <v>0.255</v>
      </c>
      <c r="Q146">
        <v>75</v>
      </c>
      <c r="R146">
        <v>72</v>
      </c>
      <c r="S146">
        <v>99</v>
      </c>
      <c r="T146">
        <v>79</v>
      </c>
      <c r="U146" t="s">
        <v>32</v>
      </c>
      <c r="V146" t="s">
        <v>33</v>
      </c>
      <c r="W146">
        <v>100</v>
      </c>
      <c r="X146">
        <v>1.5</v>
      </c>
      <c r="Y146">
        <v>1</v>
      </c>
      <c r="Z146">
        <v>1</v>
      </c>
      <c r="AA146">
        <v>1</v>
      </c>
      <c r="AB146" s="8">
        <f>AC146+Z146</f>
        <v>83.5</v>
      </c>
      <c r="AC146">
        <v>82.5</v>
      </c>
      <c r="AD146" t="s">
        <v>359</v>
      </c>
    </row>
    <row r="147" spans="1:30" x14ac:dyDescent="0.25">
      <c r="A147">
        <v>277</v>
      </c>
      <c r="B147" t="s">
        <v>218</v>
      </c>
      <c r="C147" t="s">
        <v>360</v>
      </c>
      <c r="D147" t="s">
        <v>143</v>
      </c>
      <c r="E147">
        <v>68</v>
      </c>
      <c r="F147">
        <v>71</v>
      </c>
      <c r="G147">
        <v>0</v>
      </c>
      <c r="H147">
        <v>374</v>
      </c>
      <c r="I147">
        <v>397</v>
      </c>
      <c r="J147">
        <v>94.2</v>
      </c>
      <c r="K147" s="2">
        <v>0.46100000000000002</v>
      </c>
      <c r="L147">
        <v>191</v>
      </c>
      <c r="M147">
        <v>223</v>
      </c>
      <c r="N147" s="2">
        <v>0.186</v>
      </c>
      <c r="P147" s="2">
        <v>0.221</v>
      </c>
      <c r="Q147">
        <v>73</v>
      </c>
      <c r="S147">
        <v>85</v>
      </c>
      <c r="T147">
        <v>77.5</v>
      </c>
      <c r="U147" t="s">
        <v>56</v>
      </c>
      <c r="V147" t="s">
        <v>33</v>
      </c>
      <c r="W147">
        <v>100</v>
      </c>
      <c r="X147">
        <v>1.5</v>
      </c>
      <c r="Y147">
        <v>1</v>
      </c>
      <c r="Z147">
        <v>1</v>
      </c>
      <c r="AA147">
        <v>2</v>
      </c>
      <c r="AB147" s="8">
        <f>AC147+Z147</f>
        <v>83</v>
      </c>
      <c r="AC147">
        <v>82</v>
      </c>
    </row>
    <row r="148" spans="1:30" x14ac:dyDescent="0.25">
      <c r="A148">
        <v>423</v>
      </c>
      <c r="B148" t="s">
        <v>187</v>
      </c>
      <c r="C148" t="s">
        <v>361</v>
      </c>
      <c r="D148" t="s">
        <v>192</v>
      </c>
      <c r="E148">
        <v>61</v>
      </c>
      <c r="F148">
        <v>71</v>
      </c>
      <c r="G148">
        <v>0</v>
      </c>
      <c r="H148">
        <v>279</v>
      </c>
      <c r="I148">
        <v>306</v>
      </c>
      <c r="J148">
        <v>91.2</v>
      </c>
      <c r="K148" s="2">
        <v>0.44400000000000001</v>
      </c>
      <c r="L148">
        <v>124</v>
      </c>
      <c r="M148">
        <v>155</v>
      </c>
      <c r="N148" s="2">
        <v>0.17899999999999999</v>
      </c>
      <c r="O148" s="2">
        <v>0.216</v>
      </c>
      <c r="P148" s="2">
        <v>0.20300000000000001</v>
      </c>
      <c r="Q148">
        <v>70</v>
      </c>
      <c r="R148">
        <v>86</v>
      </c>
      <c r="S148">
        <v>78</v>
      </c>
      <c r="T148">
        <v>76.5</v>
      </c>
      <c r="U148" t="s">
        <v>32</v>
      </c>
      <c r="V148" t="s">
        <v>33</v>
      </c>
      <c r="W148">
        <v>100</v>
      </c>
      <c r="X148">
        <v>0</v>
      </c>
      <c r="Y148">
        <v>3</v>
      </c>
      <c r="Z148">
        <v>0</v>
      </c>
      <c r="AA148">
        <v>2</v>
      </c>
      <c r="AB148" s="8">
        <f>AC148+Z148</f>
        <v>81.5</v>
      </c>
      <c r="AC148">
        <v>81.5</v>
      </c>
    </row>
    <row r="149" spans="1:30" x14ac:dyDescent="0.25">
      <c r="A149">
        <v>204</v>
      </c>
      <c r="B149" t="s">
        <v>362</v>
      </c>
      <c r="C149" t="s">
        <v>363</v>
      </c>
      <c r="D149" t="s">
        <v>192</v>
      </c>
      <c r="E149">
        <v>75</v>
      </c>
      <c r="F149">
        <v>19</v>
      </c>
      <c r="G149">
        <v>0</v>
      </c>
      <c r="H149">
        <v>299</v>
      </c>
      <c r="I149">
        <v>383</v>
      </c>
      <c r="J149">
        <v>78.099999999999994</v>
      </c>
      <c r="K149" s="2">
        <v>0.46500000000000002</v>
      </c>
      <c r="L149">
        <v>139</v>
      </c>
      <c r="M149">
        <v>160</v>
      </c>
      <c r="N149" s="2">
        <v>0.216</v>
      </c>
      <c r="P149" s="2">
        <v>0.22500000000000001</v>
      </c>
      <c r="Q149">
        <v>84</v>
      </c>
      <c r="S149">
        <v>87</v>
      </c>
      <c r="T149">
        <v>83</v>
      </c>
      <c r="U149" t="s">
        <v>111</v>
      </c>
      <c r="V149" t="s">
        <v>33</v>
      </c>
      <c r="W149">
        <v>100</v>
      </c>
      <c r="X149">
        <v>0</v>
      </c>
      <c r="Y149">
        <v>-2</v>
      </c>
      <c r="Z149">
        <v>0</v>
      </c>
      <c r="AA149">
        <v>0</v>
      </c>
      <c r="AB149" s="8">
        <f>AC149+Z149</f>
        <v>81</v>
      </c>
      <c r="AC149">
        <v>81</v>
      </c>
      <c r="AD149" t="s">
        <v>364</v>
      </c>
    </row>
    <row r="150" spans="1:30" x14ac:dyDescent="0.25">
      <c r="A150">
        <v>187</v>
      </c>
      <c r="B150" t="s">
        <v>369</v>
      </c>
      <c r="C150" t="s">
        <v>370</v>
      </c>
      <c r="D150" t="s">
        <v>42</v>
      </c>
      <c r="E150">
        <v>72</v>
      </c>
      <c r="F150">
        <v>78</v>
      </c>
      <c r="G150">
        <v>1</v>
      </c>
      <c r="H150">
        <v>301</v>
      </c>
      <c r="I150">
        <v>373</v>
      </c>
      <c r="J150">
        <v>80.7</v>
      </c>
      <c r="K150" s="2">
        <v>0.53400000000000003</v>
      </c>
      <c r="L150">
        <v>281</v>
      </c>
      <c r="M150">
        <v>245</v>
      </c>
      <c r="N150" s="2">
        <v>0.19900000000000001</v>
      </c>
      <c r="O150" s="2">
        <v>0.16500000000000001</v>
      </c>
      <c r="P150" s="2">
        <v>0.23899999999999999</v>
      </c>
      <c r="Q150">
        <v>78</v>
      </c>
      <c r="R150">
        <v>66</v>
      </c>
      <c r="S150">
        <v>92</v>
      </c>
      <c r="T150">
        <v>77.099999999999994</v>
      </c>
      <c r="U150" t="s">
        <v>32</v>
      </c>
      <c r="V150" t="s">
        <v>33</v>
      </c>
      <c r="W150">
        <v>100</v>
      </c>
      <c r="X150">
        <v>1</v>
      </c>
      <c r="Y150">
        <v>0</v>
      </c>
      <c r="Z150">
        <v>1</v>
      </c>
      <c r="AA150">
        <v>1</v>
      </c>
      <c r="AB150" s="8">
        <f>AC150+Z150</f>
        <v>80.099999999999994</v>
      </c>
      <c r="AC150">
        <v>79.099999999999994</v>
      </c>
      <c r="AD150" t="s">
        <v>371</v>
      </c>
    </row>
    <row r="151" spans="1:30" x14ac:dyDescent="0.25">
      <c r="A151">
        <v>487</v>
      </c>
      <c r="B151" t="s">
        <v>365</v>
      </c>
      <c r="C151" t="s">
        <v>366</v>
      </c>
      <c r="D151" t="s">
        <v>192</v>
      </c>
      <c r="E151">
        <v>69</v>
      </c>
      <c r="F151">
        <v>0</v>
      </c>
      <c r="G151">
        <v>0</v>
      </c>
      <c r="H151">
        <v>49</v>
      </c>
      <c r="I151">
        <v>66</v>
      </c>
      <c r="J151">
        <v>74.2</v>
      </c>
      <c r="K151" s="2">
        <v>0.49</v>
      </c>
      <c r="L151">
        <v>24</v>
      </c>
      <c r="M151">
        <v>25</v>
      </c>
      <c r="N151" s="2">
        <v>0</v>
      </c>
      <c r="P151" s="2">
        <v>0.192</v>
      </c>
      <c r="Q151">
        <v>0</v>
      </c>
      <c r="S151">
        <v>74</v>
      </c>
      <c r="T151">
        <v>79.900000000000006</v>
      </c>
      <c r="U151" t="s">
        <v>43</v>
      </c>
      <c r="V151" t="s">
        <v>33</v>
      </c>
      <c r="W151">
        <v>100</v>
      </c>
      <c r="X151">
        <v>0</v>
      </c>
      <c r="Y151">
        <v>1</v>
      </c>
      <c r="Z151">
        <v>-3</v>
      </c>
      <c r="AA151">
        <v>0</v>
      </c>
      <c r="AB151" s="8">
        <f>AC151+Z151</f>
        <v>77.900000000000006</v>
      </c>
      <c r="AC151">
        <v>80.900000000000006</v>
      </c>
      <c r="AD151" t="s">
        <v>173</v>
      </c>
    </row>
    <row r="152" spans="1:30" x14ac:dyDescent="0.25">
      <c r="A152">
        <v>376</v>
      </c>
      <c r="B152" t="s">
        <v>367</v>
      </c>
      <c r="C152" t="s">
        <v>368</v>
      </c>
      <c r="D152" t="s">
        <v>192</v>
      </c>
      <c r="E152">
        <v>67</v>
      </c>
      <c r="F152">
        <v>0</v>
      </c>
      <c r="G152">
        <v>0</v>
      </c>
      <c r="H152">
        <v>201</v>
      </c>
      <c r="I152">
        <v>255</v>
      </c>
      <c r="J152">
        <v>78.8</v>
      </c>
      <c r="K152" s="2">
        <v>0.46800000000000003</v>
      </c>
      <c r="L152">
        <v>94</v>
      </c>
      <c r="M152">
        <v>107</v>
      </c>
      <c r="N152" s="2">
        <v>0</v>
      </c>
      <c r="O152" s="2">
        <v>0.189</v>
      </c>
      <c r="P152" s="2">
        <v>0.19700000000000001</v>
      </c>
      <c r="Q152">
        <v>0</v>
      </c>
      <c r="R152">
        <v>75</v>
      </c>
      <c r="S152">
        <v>76</v>
      </c>
      <c r="T152">
        <v>79.599999999999994</v>
      </c>
      <c r="U152" t="s">
        <v>288</v>
      </c>
      <c r="V152" t="s">
        <v>49</v>
      </c>
      <c r="W152">
        <v>84.5</v>
      </c>
      <c r="X152">
        <v>0</v>
      </c>
      <c r="Y152">
        <v>1</v>
      </c>
      <c r="Z152">
        <v>-3</v>
      </c>
      <c r="AA152">
        <v>0</v>
      </c>
      <c r="AB152" s="8">
        <f>AC152+Z152</f>
        <v>77.599999999999994</v>
      </c>
      <c r="AC152">
        <v>80.599999999999994</v>
      </c>
    </row>
    <row r="153" spans="1:30" x14ac:dyDescent="0.25">
      <c r="A153" s="5">
        <v>131</v>
      </c>
      <c r="B153" s="5" t="s">
        <v>215</v>
      </c>
      <c r="C153" s="5" t="s">
        <v>374</v>
      </c>
      <c r="D153" s="5" t="s">
        <v>42</v>
      </c>
      <c r="E153" s="5">
        <v>72</v>
      </c>
      <c r="F153" s="5">
        <v>41</v>
      </c>
      <c r="G153" s="5">
        <v>0</v>
      </c>
      <c r="H153" s="5">
        <v>314</v>
      </c>
      <c r="I153" s="5">
        <v>379</v>
      </c>
      <c r="J153" s="5">
        <v>82.8</v>
      </c>
      <c r="K153" s="6">
        <v>0.48899999999999999</v>
      </c>
      <c r="L153" s="5">
        <v>330</v>
      </c>
      <c r="M153" s="5">
        <v>345</v>
      </c>
      <c r="N153" s="6">
        <v>0.19600000000000001</v>
      </c>
      <c r="O153" s="6">
        <v>0.16900000000000001</v>
      </c>
      <c r="P153" s="6">
        <v>0.21099999999999999</v>
      </c>
      <c r="Q153" s="5">
        <v>77</v>
      </c>
      <c r="R153" s="5">
        <v>67</v>
      </c>
      <c r="S153" s="5">
        <v>82</v>
      </c>
      <c r="T153" s="5">
        <v>74.8</v>
      </c>
      <c r="U153" s="5" t="s">
        <v>32</v>
      </c>
      <c r="V153" s="5" t="s">
        <v>33</v>
      </c>
      <c r="W153" s="5">
        <v>92.5</v>
      </c>
      <c r="X153" s="5">
        <v>1</v>
      </c>
      <c r="Y153" s="5">
        <v>0</v>
      </c>
      <c r="Z153" s="5">
        <v>0</v>
      </c>
      <c r="AA153" s="5">
        <v>1</v>
      </c>
      <c r="AB153" s="5">
        <f>AC153+Z153</f>
        <v>76.8</v>
      </c>
      <c r="AC153" s="5">
        <v>76.8</v>
      </c>
      <c r="AD153" s="5" t="s">
        <v>375</v>
      </c>
    </row>
    <row r="154" spans="1:30" x14ac:dyDescent="0.25">
      <c r="A154">
        <v>251</v>
      </c>
      <c r="B154" t="s">
        <v>98</v>
      </c>
      <c r="C154" t="s">
        <v>372</v>
      </c>
      <c r="D154" t="s">
        <v>192</v>
      </c>
      <c r="E154">
        <v>69</v>
      </c>
      <c r="F154">
        <v>69</v>
      </c>
      <c r="G154">
        <v>0</v>
      </c>
      <c r="H154">
        <v>359</v>
      </c>
      <c r="I154">
        <v>383</v>
      </c>
      <c r="J154">
        <v>93.7</v>
      </c>
      <c r="K154" s="2">
        <v>0.48299999999999998</v>
      </c>
      <c r="L154">
        <v>182</v>
      </c>
      <c r="M154">
        <v>195</v>
      </c>
      <c r="N154" s="2">
        <v>0.20399999999999999</v>
      </c>
      <c r="O154" s="2">
        <v>0.17299999999999999</v>
      </c>
      <c r="P154" s="2">
        <v>0.191</v>
      </c>
      <c r="Q154">
        <v>80</v>
      </c>
      <c r="R154">
        <v>69</v>
      </c>
      <c r="S154">
        <v>74</v>
      </c>
      <c r="T154">
        <v>75.400000000000006</v>
      </c>
      <c r="U154" t="s">
        <v>32</v>
      </c>
      <c r="V154" t="s">
        <v>33</v>
      </c>
      <c r="W154">
        <v>100</v>
      </c>
      <c r="X154">
        <v>0</v>
      </c>
      <c r="Y154">
        <v>1</v>
      </c>
      <c r="Z154">
        <v>-2</v>
      </c>
      <c r="AA154">
        <v>2</v>
      </c>
      <c r="AB154" s="8">
        <f>AC154+Z154</f>
        <v>76.400000000000006</v>
      </c>
      <c r="AC154">
        <v>78.400000000000006</v>
      </c>
      <c r="AD154" t="s">
        <v>373</v>
      </c>
    </row>
    <row r="155" spans="1:30" s="5" customFormat="1" x14ac:dyDescent="0.25">
      <c r="A155">
        <v>466</v>
      </c>
      <c r="B155" t="s">
        <v>376</v>
      </c>
      <c r="C155" t="s">
        <v>377</v>
      </c>
      <c r="D155" t="s">
        <v>192</v>
      </c>
      <c r="E155">
        <v>65</v>
      </c>
      <c r="F155">
        <v>74</v>
      </c>
      <c r="G155">
        <v>0</v>
      </c>
      <c r="H155">
        <v>179</v>
      </c>
      <c r="I155">
        <v>229</v>
      </c>
      <c r="J155">
        <v>78.2</v>
      </c>
      <c r="K155" s="2">
        <v>0.47199999999999998</v>
      </c>
      <c r="L155">
        <v>84</v>
      </c>
      <c r="M155">
        <v>94</v>
      </c>
      <c r="N155" s="2">
        <v>0.19900000000000001</v>
      </c>
      <c r="O155" s="2">
        <v>0.13200000000000001</v>
      </c>
      <c r="P155" s="2">
        <v>0.26600000000000001</v>
      </c>
      <c r="Q155">
        <v>78</v>
      </c>
      <c r="R155">
        <v>53</v>
      </c>
      <c r="S155">
        <v>103</v>
      </c>
      <c r="T155">
        <v>75.3</v>
      </c>
      <c r="U155" t="s">
        <v>32</v>
      </c>
      <c r="V155" t="s">
        <v>33</v>
      </c>
      <c r="W155">
        <v>97.5</v>
      </c>
      <c r="X155">
        <v>0</v>
      </c>
      <c r="Y155">
        <v>1</v>
      </c>
      <c r="Z155">
        <v>0</v>
      </c>
      <c r="AA155">
        <v>0</v>
      </c>
      <c r="AB155" s="8">
        <f>AC155+Z155</f>
        <v>76.3</v>
      </c>
      <c r="AC155">
        <v>76.3</v>
      </c>
      <c r="AD155" t="s">
        <v>378</v>
      </c>
    </row>
    <row r="156" spans="1:30" x14ac:dyDescent="0.25">
      <c r="A156">
        <v>358</v>
      </c>
      <c r="B156" t="s">
        <v>126</v>
      </c>
      <c r="C156" t="s">
        <v>379</v>
      </c>
      <c r="D156" t="s">
        <v>136</v>
      </c>
      <c r="E156">
        <v>67</v>
      </c>
      <c r="F156">
        <v>76</v>
      </c>
      <c r="G156">
        <v>0</v>
      </c>
      <c r="H156">
        <v>346</v>
      </c>
      <c r="I156">
        <v>379</v>
      </c>
      <c r="J156">
        <v>91.3</v>
      </c>
      <c r="K156" s="2">
        <v>0.47699999999999998</v>
      </c>
      <c r="L156">
        <v>165</v>
      </c>
      <c r="M156">
        <v>181</v>
      </c>
      <c r="N156" s="2">
        <v>0.17299999999999999</v>
      </c>
      <c r="O156" s="2">
        <v>0.19</v>
      </c>
      <c r="P156" s="2">
        <v>0.18099999999999999</v>
      </c>
      <c r="Q156">
        <v>68</v>
      </c>
      <c r="R156">
        <v>76</v>
      </c>
      <c r="S156">
        <v>70</v>
      </c>
      <c r="T156">
        <v>70.5</v>
      </c>
      <c r="U156" t="s">
        <v>32</v>
      </c>
      <c r="V156" t="s">
        <v>33</v>
      </c>
      <c r="W156">
        <v>100</v>
      </c>
      <c r="X156">
        <v>2</v>
      </c>
      <c r="Y156">
        <v>1</v>
      </c>
      <c r="Z156">
        <v>0</v>
      </c>
      <c r="AA156">
        <v>2</v>
      </c>
      <c r="AB156" s="8">
        <f>AC156+Z156</f>
        <v>75.5</v>
      </c>
      <c r="AC156">
        <v>75.5</v>
      </c>
      <c r="AD156" t="s">
        <v>380</v>
      </c>
    </row>
    <row r="157" spans="1:30" x14ac:dyDescent="0.25">
      <c r="A157">
        <v>361</v>
      </c>
      <c r="B157" t="s">
        <v>289</v>
      </c>
      <c r="C157" t="s">
        <v>384</v>
      </c>
      <c r="D157" t="s">
        <v>47</v>
      </c>
      <c r="E157">
        <v>65</v>
      </c>
      <c r="F157">
        <v>0</v>
      </c>
      <c r="G157">
        <v>0</v>
      </c>
      <c r="H157">
        <v>205</v>
      </c>
      <c r="I157">
        <v>252</v>
      </c>
      <c r="J157">
        <v>81.3</v>
      </c>
      <c r="K157" s="2">
        <v>0.45400000000000001</v>
      </c>
      <c r="L157">
        <v>93</v>
      </c>
      <c r="M157">
        <v>112</v>
      </c>
      <c r="N157" s="2">
        <v>0</v>
      </c>
      <c r="P157" s="2">
        <v>0.13700000000000001</v>
      </c>
      <c r="Q157">
        <v>0</v>
      </c>
      <c r="S157">
        <v>53</v>
      </c>
      <c r="T157">
        <v>68.8</v>
      </c>
      <c r="U157" t="s">
        <v>106</v>
      </c>
      <c r="V157" t="s">
        <v>33</v>
      </c>
      <c r="W157">
        <v>90</v>
      </c>
      <c r="X157">
        <v>2.5</v>
      </c>
      <c r="Y157">
        <v>1</v>
      </c>
      <c r="Z157">
        <v>2</v>
      </c>
      <c r="AA157">
        <v>1</v>
      </c>
      <c r="AB157" s="8">
        <f>AC157+Z157</f>
        <v>75.3</v>
      </c>
      <c r="AC157">
        <v>73.3</v>
      </c>
      <c r="AD157" t="s">
        <v>385</v>
      </c>
    </row>
    <row r="158" spans="1:30" x14ac:dyDescent="0.25">
      <c r="A158">
        <v>243</v>
      </c>
      <c r="B158" t="s">
        <v>339</v>
      </c>
      <c r="C158" t="s">
        <v>381</v>
      </c>
      <c r="D158" t="s">
        <v>192</v>
      </c>
      <c r="E158">
        <v>76</v>
      </c>
      <c r="F158">
        <v>73</v>
      </c>
      <c r="G158">
        <v>0</v>
      </c>
      <c r="H158">
        <v>345</v>
      </c>
      <c r="I158">
        <v>378</v>
      </c>
      <c r="J158">
        <v>91.3</v>
      </c>
      <c r="K158" s="2">
        <v>0.53200000000000003</v>
      </c>
      <c r="L158">
        <v>278</v>
      </c>
      <c r="M158">
        <v>245</v>
      </c>
      <c r="N158" s="2">
        <v>0.19600000000000001</v>
      </c>
      <c r="O158" s="2">
        <v>0.16400000000000001</v>
      </c>
      <c r="P158" s="2">
        <v>0.222</v>
      </c>
      <c r="Q158">
        <v>77</v>
      </c>
      <c r="R158">
        <v>65</v>
      </c>
      <c r="S158">
        <v>86</v>
      </c>
      <c r="T158">
        <v>75.2</v>
      </c>
      <c r="U158" t="s">
        <v>32</v>
      </c>
      <c r="V158" t="s">
        <v>33</v>
      </c>
      <c r="W158">
        <v>100</v>
      </c>
      <c r="X158">
        <v>0</v>
      </c>
      <c r="Y158">
        <v>-2</v>
      </c>
      <c r="Z158">
        <v>0</v>
      </c>
      <c r="AA158">
        <v>2</v>
      </c>
      <c r="AB158" s="8">
        <f>AC158+Z158</f>
        <v>75.2</v>
      </c>
      <c r="AC158">
        <v>75.2</v>
      </c>
      <c r="AD158" t="s">
        <v>382</v>
      </c>
    </row>
    <row r="159" spans="1:30" x14ac:dyDescent="0.25">
      <c r="A159">
        <v>345</v>
      </c>
      <c r="B159" t="s">
        <v>187</v>
      </c>
      <c r="C159" t="s">
        <v>383</v>
      </c>
      <c r="D159" t="s">
        <v>192</v>
      </c>
      <c r="E159">
        <v>69</v>
      </c>
      <c r="F159">
        <v>78</v>
      </c>
      <c r="G159">
        <v>0</v>
      </c>
      <c r="H159">
        <v>313</v>
      </c>
      <c r="I159">
        <v>381</v>
      </c>
      <c r="J159">
        <v>82.2</v>
      </c>
      <c r="K159" s="2">
        <v>0.54800000000000004</v>
      </c>
      <c r="L159">
        <v>171</v>
      </c>
      <c r="M159">
        <v>141</v>
      </c>
      <c r="N159" s="2">
        <v>0.156</v>
      </c>
      <c r="O159" s="2">
        <v>0.223</v>
      </c>
      <c r="P159" s="2">
        <v>0.20300000000000001</v>
      </c>
      <c r="Q159">
        <v>61</v>
      </c>
      <c r="R159">
        <v>89</v>
      </c>
      <c r="S159">
        <v>78</v>
      </c>
      <c r="T159">
        <v>72.8</v>
      </c>
      <c r="U159" t="s">
        <v>32</v>
      </c>
      <c r="V159" t="s">
        <v>33</v>
      </c>
      <c r="W159">
        <v>100</v>
      </c>
      <c r="X159">
        <v>0</v>
      </c>
      <c r="Y159">
        <v>1</v>
      </c>
      <c r="Z159">
        <v>0</v>
      </c>
      <c r="AA159">
        <v>1</v>
      </c>
      <c r="AB159" s="8">
        <f>AC159+Z159</f>
        <v>74.8</v>
      </c>
      <c r="AC159">
        <v>74.8</v>
      </c>
    </row>
    <row r="160" spans="1:30" x14ac:dyDescent="0.25">
      <c r="A160">
        <v>250</v>
      </c>
      <c r="B160" t="s">
        <v>58</v>
      </c>
      <c r="C160" t="s">
        <v>386</v>
      </c>
      <c r="D160" t="s">
        <v>192</v>
      </c>
      <c r="E160">
        <v>68</v>
      </c>
      <c r="F160">
        <v>69</v>
      </c>
      <c r="G160">
        <v>0</v>
      </c>
      <c r="H160">
        <v>351</v>
      </c>
      <c r="I160">
        <v>381</v>
      </c>
      <c r="J160">
        <v>92.1</v>
      </c>
      <c r="K160" s="2">
        <v>0.48899999999999999</v>
      </c>
      <c r="L160">
        <v>252</v>
      </c>
      <c r="M160">
        <v>263</v>
      </c>
      <c r="N160" s="2">
        <v>0.14799999999999999</v>
      </c>
      <c r="O160" s="2">
        <v>0.24099999999999999</v>
      </c>
      <c r="P160" s="2">
        <v>0.156</v>
      </c>
      <c r="Q160">
        <v>58</v>
      </c>
      <c r="R160">
        <v>96</v>
      </c>
      <c r="S160">
        <v>60</v>
      </c>
      <c r="T160">
        <v>69.900000000000006</v>
      </c>
      <c r="U160" t="s">
        <v>32</v>
      </c>
      <c r="V160" t="s">
        <v>33</v>
      </c>
      <c r="W160">
        <v>97.5</v>
      </c>
      <c r="X160">
        <v>0</v>
      </c>
      <c r="Y160">
        <v>1</v>
      </c>
      <c r="Z160">
        <v>0</v>
      </c>
      <c r="AA160">
        <v>2</v>
      </c>
      <c r="AB160" s="8">
        <f>AC160+Z160</f>
        <v>72.900000000000006</v>
      </c>
      <c r="AC160">
        <v>72.900000000000006</v>
      </c>
      <c r="AD160" t="s">
        <v>387</v>
      </c>
    </row>
    <row r="161" spans="1:30" x14ac:dyDescent="0.25">
      <c r="A161">
        <v>385</v>
      </c>
      <c r="B161" t="s">
        <v>388</v>
      </c>
      <c r="C161" t="s">
        <v>389</v>
      </c>
      <c r="D161" t="s">
        <v>92</v>
      </c>
      <c r="E161">
        <v>67</v>
      </c>
      <c r="F161">
        <v>0</v>
      </c>
      <c r="G161">
        <v>0</v>
      </c>
      <c r="H161">
        <v>62</v>
      </c>
      <c r="I161">
        <v>83</v>
      </c>
      <c r="J161">
        <v>74.7</v>
      </c>
      <c r="K161" s="2">
        <v>0.48399999999999999</v>
      </c>
      <c r="L161">
        <v>30</v>
      </c>
      <c r="M161">
        <v>32</v>
      </c>
      <c r="N161" s="2">
        <v>0</v>
      </c>
      <c r="P161" s="2">
        <v>0.17499999999999999</v>
      </c>
      <c r="Q161">
        <v>0</v>
      </c>
      <c r="S161">
        <v>68</v>
      </c>
      <c r="T161">
        <v>70.400000000000006</v>
      </c>
      <c r="U161" t="s">
        <v>43</v>
      </c>
      <c r="V161" t="s">
        <v>33</v>
      </c>
      <c r="W161">
        <v>100</v>
      </c>
      <c r="X161">
        <v>1.5</v>
      </c>
      <c r="Y161">
        <v>1</v>
      </c>
      <c r="Z161">
        <v>0</v>
      </c>
      <c r="AA161">
        <v>0</v>
      </c>
      <c r="AB161" s="8">
        <f>AC161+Z161</f>
        <v>72.900000000000006</v>
      </c>
      <c r="AC161">
        <v>72.900000000000006</v>
      </c>
    </row>
    <row r="162" spans="1:30" x14ac:dyDescent="0.25">
      <c r="A162">
        <v>75</v>
      </c>
      <c r="B162" t="s">
        <v>390</v>
      </c>
      <c r="C162" t="s">
        <v>391</v>
      </c>
      <c r="D162" t="s">
        <v>192</v>
      </c>
      <c r="E162">
        <v>78</v>
      </c>
      <c r="F162">
        <v>0</v>
      </c>
      <c r="G162">
        <v>0</v>
      </c>
      <c r="H162">
        <v>303</v>
      </c>
      <c r="I162">
        <v>360</v>
      </c>
      <c r="J162">
        <v>84.2</v>
      </c>
      <c r="K162" s="2">
        <v>0.55800000000000005</v>
      </c>
      <c r="L162">
        <v>263</v>
      </c>
      <c r="M162">
        <v>208</v>
      </c>
      <c r="N162" s="2">
        <v>0</v>
      </c>
      <c r="P162" s="2">
        <v>0.16600000000000001</v>
      </c>
      <c r="Q162">
        <v>0</v>
      </c>
      <c r="S162">
        <v>64</v>
      </c>
      <c r="T162">
        <v>73</v>
      </c>
      <c r="U162" t="s">
        <v>106</v>
      </c>
      <c r="V162" t="s">
        <v>33</v>
      </c>
      <c r="W162">
        <v>100</v>
      </c>
      <c r="X162">
        <v>0</v>
      </c>
      <c r="Y162">
        <v>-2</v>
      </c>
      <c r="Z162">
        <v>0</v>
      </c>
      <c r="AA162">
        <v>1</v>
      </c>
      <c r="AB162" s="8">
        <f>AC162+Z162</f>
        <v>72</v>
      </c>
      <c r="AC162">
        <v>72</v>
      </c>
    </row>
    <row r="163" spans="1:30" x14ac:dyDescent="0.25">
      <c r="A163">
        <v>315</v>
      </c>
      <c r="B163" t="s">
        <v>123</v>
      </c>
      <c r="C163" t="s">
        <v>392</v>
      </c>
      <c r="D163" t="s">
        <v>42</v>
      </c>
      <c r="E163">
        <v>74</v>
      </c>
      <c r="F163">
        <v>40</v>
      </c>
      <c r="G163">
        <v>0</v>
      </c>
      <c r="H163">
        <v>220</v>
      </c>
      <c r="I163">
        <v>249</v>
      </c>
      <c r="J163">
        <v>88.4</v>
      </c>
      <c r="K163" s="2">
        <v>0.51800000000000002</v>
      </c>
      <c r="L163">
        <v>113</v>
      </c>
      <c r="M163">
        <v>105</v>
      </c>
      <c r="N163" s="2">
        <v>0.182</v>
      </c>
      <c r="O163" s="2">
        <v>0.13200000000000001</v>
      </c>
      <c r="P163" s="2">
        <v>0.16900000000000001</v>
      </c>
      <c r="Q163">
        <v>71</v>
      </c>
      <c r="R163">
        <v>53</v>
      </c>
      <c r="S163">
        <v>65</v>
      </c>
      <c r="T163">
        <v>64.5</v>
      </c>
      <c r="U163" t="s">
        <v>32</v>
      </c>
      <c r="V163" t="s">
        <v>33</v>
      </c>
      <c r="W163">
        <v>100</v>
      </c>
      <c r="X163">
        <v>1</v>
      </c>
      <c r="Y163">
        <v>0</v>
      </c>
      <c r="Z163">
        <v>0</v>
      </c>
      <c r="AA163">
        <v>1</v>
      </c>
      <c r="AB163" s="8">
        <f>AC163+Z163</f>
        <v>66.5</v>
      </c>
      <c r="AC163">
        <v>66.5</v>
      </c>
      <c r="AD163" t="s">
        <v>393</v>
      </c>
    </row>
    <row r="164" spans="1:30" x14ac:dyDescent="0.25">
      <c r="A164" s="5">
        <v>515</v>
      </c>
      <c r="B164" s="5" t="s">
        <v>282</v>
      </c>
      <c r="C164" s="5" t="s">
        <v>394</v>
      </c>
      <c r="D164" s="5" t="s">
        <v>42</v>
      </c>
      <c r="E164" s="5">
        <v>57</v>
      </c>
      <c r="F164" s="5">
        <v>10</v>
      </c>
      <c r="G164" s="5">
        <v>0</v>
      </c>
      <c r="H164" s="5">
        <v>135</v>
      </c>
      <c r="I164" s="5">
        <v>163</v>
      </c>
      <c r="J164" s="5">
        <v>82.8</v>
      </c>
      <c r="K164" s="6">
        <v>0.51900000000000002</v>
      </c>
      <c r="L164" s="5">
        <v>70</v>
      </c>
      <c r="M164" s="5">
        <v>65</v>
      </c>
      <c r="N164" s="6">
        <v>8.2000000000000003E-2</v>
      </c>
      <c r="O164" s="6">
        <v>0.17100000000000001</v>
      </c>
      <c r="P164" s="6">
        <v>0.217</v>
      </c>
      <c r="Q164" s="5">
        <v>32</v>
      </c>
      <c r="R164" s="5">
        <v>68</v>
      </c>
      <c r="S164" s="5">
        <v>84</v>
      </c>
      <c r="T164" s="5">
        <v>53.2</v>
      </c>
      <c r="U164" s="5" t="s">
        <v>32</v>
      </c>
      <c r="V164" s="5" t="s">
        <v>33</v>
      </c>
      <c r="W164" s="5">
        <v>97.5</v>
      </c>
      <c r="X164" s="5">
        <v>1</v>
      </c>
      <c r="Y164" s="5">
        <v>5</v>
      </c>
      <c r="Z164" s="5">
        <v>0</v>
      </c>
      <c r="AA164" s="5">
        <v>1</v>
      </c>
      <c r="AB164" s="5">
        <f>AC164+Z164</f>
        <v>60.2</v>
      </c>
      <c r="AC164" s="5">
        <v>60.2</v>
      </c>
      <c r="AD164" s="5" t="s">
        <v>173</v>
      </c>
    </row>
    <row r="165" spans="1:30" x14ac:dyDescent="0.25">
      <c r="A165">
        <v>343</v>
      </c>
      <c r="B165" t="s">
        <v>252</v>
      </c>
      <c r="C165" t="s">
        <v>253</v>
      </c>
      <c r="D165" t="s">
        <v>192</v>
      </c>
      <c r="E165">
        <v>64</v>
      </c>
      <c r="F165">
        <v>0</v>
      </c>
      <c r="G165">
        <v>0</v>
      </c>
      <c r="H165">
        <v>241</v>
      </c>
      <c r="I165">
        <v>278</v>
      </c>
      <c r="J165">
        <v>86.7</v>
      </c>
      <c r="K165" s="2">
        <v>0.50600000000000001</v>
      </c>
      <c r="L165">
        <v>122</v>
      </c>
      <c r="M165">
        <v>119</v>
      </c>
      <c r="N165" s="2">
        <v>0</v>
      </c>
      <c r="Q165">
        <v>0</v>
      </c>
      <c r="T165">
        <v>98.8</v>
      </c>
      <c r="U165" t="s">
        <v>254</v>
      </c>
      <c r="V165" t="s">
        <v>192</v>
      </c>
      <c r="W165">
        <v>76</v>
      </c>
      <c r="X165">
        <v>0</v>
      </c>
      <c r="Y165">
        <v>3</v>
      </c>
      <c r="Z165">
        <v>-99999</v>
      </c>
      <c r="AA165">
        <v>1</v>
      </c>
      <c r="AB165" s="8">
        <f>AC165+Z165</f>
        <v>-99896.2</v>
      </c>
      <c r="AC165">
        <v>102.8</v>
      </c>
    </row>
  </sheetData>
  <sortState xmlns:xlrd2="http://schemas.microsoft.com/office/spreadsheetml/2017/richdata2" ref="A2:AD165">
    <sortCondition descending="1" ref="AB2:AB16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Hall</cp:lastModifiedBy>
  <dcterms:created xsi:type="dcterms:W3CDTF">2025-11-26T10:17:42Z</dcterms:created>
  <dcterms:modified xsi:type="dcterms:W3CDTF">2025-11-26T21:53:49Z</dcterms:modified>
</cp:coreProperties>
</file>