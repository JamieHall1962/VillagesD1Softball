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sbclaude\"/>
    </mc:Choice>
  </mc:AlternateContent>
  <xr:revisionPtr revIDLastSave="0" documentId="13_ncr:1_{45F45B86-30F7-4F2B-9A17-55F3F5899D4E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rankings" sheetId="1" r:id="rId1"/>
    <sheet name="Sheet1" sheetId="6" r:id="rId2"/>
    <sheet name="Teams" sheetId="4" r:id="rId3"/>
    <sheet name="Contact_Info" sheetId="3" r:id="rId4"/>
    <sheet name="Summary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1" i="6" l="1"/>
  <c r="L15" i="6"/>
  <c r="L6" i="6"/>
  <c r="L12" i="6"/>
  <c r="L8" i="6"/>
  <c r="L3" i="6"/>
  <c r="L2" i="6"/>
  <c r="L5" i="6"/>
  <c r="L9" i="6"/>
  <c r="L4" i="6"/>
  <c r="L10" i="6"/>
  <c r="L7" i="6"/>
  <c r="L14" i="6"/>
  <c r="L13" i="6"/>
  <c r="K8" i="6"/>
  <c r="K11" i="6"/>
  <c r="K7" i="6"/>
  <c r="K12" i="6"/>
  <c r="K9" i="6"/>
  <c r="K10" i="6"/>
  <c r="K4" i="6"/>
  <c r="K5" i="6"/>
  <c r="K13" i="6"/>
  <c r="K3" i="6"/>
  <c r="K14" i="6"/>
  <c r="K15" i="6"/>
  <c r="K6" i="6"/>
  <c r="K2" i="6"/>
  <c r="O8" i="5"/>
  <c r="O13" i="5"/>
  <c r="O7" i="5"/>
  <c r="O15" i="5"/>
  <c r="O6" i="5"/>
  <c r="O10" i="5"/>
  <c r="O4" i="5"/>
  <c r="O2" i="5"/>
  <c r="O12" i="5"/>
  <c r="O11" i="5"/>
  <c r="O14" i="5"/>
  <c r="O5" i="5"/>
  <c r="O3" i="5"/>
  <c r="O9" i="5"/>
  <c r="N8" i="5"/>
  <c r="N13" i="5"/>
  <c r="N7" i="5"/>
  <c r="N15" i="5"/>
  <c r="N6" i="5"/>
  <c r="N10" i="5"/>
  <c r="N4" i="5"/>
  <c r="N2" i="5"/>
  <c r="N12" i="5"/>
  <c r="N11" i="5"/>
  <c r="N14" i="5"/>
  <c r="N5" i="5"/>
  <c r="N3" i="5"/>
  <c r="N9" i="5"/>
  <c r="B165" i="1" a="1"/>
  <c r="B165" i="1" s="1"/>
  <c r="B164" i="1" a="1"/>
  <c r="B164" i="1" s="1"/>
  <c r="B163" i="1" a="1"/>
  <c r="B163" i="1" s="1"/>
  <c r="B162" i="1" a="1"/>
  <c r="B161" i="1" a="1"/>
  <c r="B160" i="1" a="1"/>
  <c r="B159" i="1" a="1"/>
  <c r="B158" i="1" a="1"/>
  <c r="B157" i="1" a="1"/>
  <c r="B157" i="1" s="1"/>
  <c r="B156" i="1" a="1"/>
  <c r="B155" i="1" a="1"/>
  <c r="B155" i="1" s="1"/>
  <c r="B154" i="1" a="1"/>
  <c r="B153" i="1" a="1"/>
  <c r="B152" i="1" a="1"/>
  <c r="B151" i="1" a="1"/>
  <c r="B150" i="1" a="1"/>
  <c r="B150" i="1" s="1"/>
  <c r="B149" i="1" a="1"/>
  <c r="B149" i="1" s="1"/>
  <c r="B148" i="1" a="1"/>
  <c r="B148" i="1" s="1"/>
  <c r="B147" i="1" a="1"/>
  <c r="B147" i="1" s="1"/>
  <c r="B146" i="1" a="1"/>
  <c r="B146" i="1" s="1"/>
  <c r="B145" i="1" a="1"/>
  <c r="B145" i="1" s="1"/>
  <c r="B144" i="1" a="1"/>
  <c r="B144" i="1" s="1"/>
  <c r="B143" i="1" a="1"/>
  <c r="B143" i="1" s="1"/>
  <c r="B142" i="1" a="1"/>
  <c r="B142" i="1" s="1"/>
  <c r="B141" i="1" a="1"/>
  <c r="B141" i="1" s="1"/>
  <c r="B140" i="1" a="1"/>
  <c r="B140" i="1" s="1"/>
  <c r="B139" i="1" a="1"/>
  <c r="B139" i="1" s="1"/>
  <c r="B138" i="1" a="1"/>
  <c r="B138" i="1" s="1"/>
  <c r="B137" i="1" a="1"/>
  <c r="B137" i="1" s="1"/>
  <c r="B136" i="1" a="1"/>
  <c r="B135" i="1" a="1"/>
  <c r="B135" i="1" s="1"/>
  <c r="B134" i="1" a="1"/>
  <c r="B134" i="1" s="1"/>
  <c r="B133" i="1" a="1"/>
  <c r="B133" i="1" s="1"/>
  <c r="B132" i="1" a="1"/>
  <c r="B132" i="1" s="1"/>
  <c r="B131" i="1" a="1"/>
  <c r="B131" i="1" s="1"/>
  <c r="B130" i="1" a="1"/>
  <c r="B129" i="1" a="1"/>
  <c r="B129" i="1" s="1"/>
  <c r="B128" i="1" a="1"/>
  <c r="B128" i="1" s="1"/>
  <c r="B127" i="1" a="1"/>
  <c r="B127" i="1" s="1"/>
  <c r="B126" i="1" a="1"/>
  <c r="B126" i="1" s="1"/>
  <c r="B125" i="1" a="1"/>
  <c r="B125" i="1" s="1"/>
  <c r="B124" i="1" a="1"/>
  <c r="B124" i="1" s="1"/>
  <c r="B123" i="1" a="1"/>
  <c r="B123" i="1" s="1"/>
  <c r="B122" i="1" a="1"/>
  <c r="B122" i="1" s="1"/>
  <c r="B121" i="1" a="1"/>
  <c r="B121" i="1" s="1"/>
  <c r="B120" i="1" a="1"/>
  <c r="B119" i="1" a="1"/>
  <c r="B119" i="1" s="1"/>
  <c r="B118" i="1" a="1"/>
  <c r="B118" i="1" s="1"/>
  <c r="B117" i="1" a="1"/>
  <c r="B117" i="1" s="1"/>
  <c r="B116" i="1" a="1"/>
  <c r="B116" i="1" s="1"/>
  <c r="B115" i="1" a="1"/>
  <c r="B115" i="1" s="1"/>
  <c r="B114" i="1" a="1"/>
  <c r="B114" i="1" s="1"/>
  <c r="B113" i="1" a="1"/>
  <c r="B113" i="1" s="1"/>
  <c r="B112" i="1" a="1"/>
  <c r="B112" i="1" s="1"/>
  <c r="B111" i="1" a="1"/>
  <c r="B111" i="1" s="1"/>
  <c r="B110" i="1" a="1"/>
  <c r="B110" i="1" s="1"/>
  <c r="B109" i="1" a="1"/>
  <c r="B109" i="1" s="1"/>
  <c r="B108" i="1" a="1"/>
  <c r="B108" i="1" s="1"/>
  <c r="B107" i="1" a="1"/>
  <c r="B106" i="1" a="1"/>
  <c r="B106" i="1" s="1"/>
  <c r="B105" i="1" a="1"/>
  <c r="B105" i="1" s="1"/>
  <c r="B104" i="1" a="1"/>
  <c r="B104" i="1" s="1"/>
  <c r="B103" i="1" a="1"/>
  <c r="B103" i="1" s="1"/>
  <c r="B102" i="1" a="1"/>
  <c r="B102" i="1" s="1"/>
  <c r="B101" i="1" a="1"/>
  <c r="B101" i="1" s="1"/>
  <c r="B100" i="1" a="1"/>
  <c r="B100" i="1" s="1"/>
  <c r="B99" i="1" a="1"/>
  <c r="B99" i="1" s="1"/>
  <c r="B98" i="1" a="1"/>
  <c r="B98" i="1" s="1"/>
  <c r="B97" i="1" a="1"/>
  <c r="B97" i="1" s="1"/>
  <c r="B96" i="1" a="1"/>
  <c r="B96" i="1" s="1"/>
  <c r="B95" i="1" a="1"/>
  <c r="B95" i="1" s="1"/>
  <c r="B94" i="1" a="1"/>
  <c r="B94" i="1" s="1"/>
  <c r="B93" i="1" a="1"/>
  <c r="B93" i="1" s="1"/>
  <c r="B92" i="1" a="1"/>
  <c r="B92" i="1" s="1"/>
  <c r="B91" i="1" a="1"/>
  <c r="B91" i="1" s="1"/>
  <c r="B90" i="1" a="1"/>
  <c r="B90" i="1" s="1"/>
  <c r="B89" i="1" a="1"/>
  <c r="B89" i="1" s="1"/>
  <c r="B88" i="1" a="1"/>
  <c r="B88" i="1" s="1"/>
  <c r="B87" i="1" a="1"/>
  <c r="B87" i="1" s="1"/>
  <c r="B86" i="1" a="1"/>
  <c r="B85" i="1" a="1"/>
  <c r="B85" i="1" s="1"/>
  <c r="B84" i="1" a="1"/>
  <c r="B84" i="1" s="1"/>
  <c r="B83" i="1" a="1"/>
  <c r="B83" i="1" s="1"/>
  <c r="B82" i="1" a="1"/>
  <c r="B81" i="1" a="1"/>
  <c r="B80" i="1" a="1"/>
  <c r="B80" i="1" s="1"/>
  <c r="B79" i="1" a="1"/>
  <c r="B79" i="1" s="1"/>
  <c r="B78" i="1" a="1"/>
  <c r="B78" i="1" s="1"/>
  <c r="B77" i="1" a="1"/>
  <c r="B77" i="1" s="1"/>
  <c r="B76" i="1" a="1"/>
  <c r="B76" i="1" s="1"/>
  <c r="B75" i="1" a="1"/>
  <c r="B74" i="1" a="1"/>
  <c r="B74" i="1" s="1"/>
  <c r="B73" i="1" a="1"/>
  <c r="B73" i="1" s="1"/>
  <c r="B72" i="1" a="1"/>
  <c r="B72" i="1" s="1"/>
  <c r="B71" i="1" a="1"/>
  <c r="B71" i="1" s="1"/>
  <c r="B70" i="1" a="1"/>
  <c r="B70" i="1" s="1"/>
  <c r="B69" i="1" a="1"/>
  <c r="B69" i="1" s="1"/>
  <c r="B68" i="1" a="1"/>
  <c r="B68" i="1" s="1"/>
  <c r="B67" i="1" a="1"/>
  <c r="B67" i="1" s="1"/>
  <c r="B66" i="1" a="1"/>
  <c r="B66" i="1" s="1"/>
  <c r="B65" i="1" a="1"/>
  <c r="B65" i="1" s="1"/>
  <c r="B64" i="1" a="1"/>
  <c r="B64" i="1" s="1"/>
  <c r="B63" i="1" a="1"/>
  <c r="B63" i="1" s="1"/>
  <c r="B62" i="1" a="1"/>
  <c r="B61" i="1" a="1"/>
  <c r="B61" i="1" s="1"/>
  <c r="B60" i="1" a="1"/>
  <c r="B60" i="1" s="1"/>
  <c r="B59" i="1" a="1"/>
  <c r="B59" i="1" s="1"/>
  <c r="B58" i="1" a="1"/>
  <c r="B58" i="1" s="1"/>
  <c r="B57" i="1" a="1"/>
  <c r="B57" i="1" s="1"/>
  <c r="B56" i="1" a="1"/>
  <c r="B56" i="1" s="1"/>
  <c r="B55" i="1" a="1"/>
  <c r="B55" i="1" s="1"/>
  <c r="B54" i="1" a="1"/>
  <c r="B54" i="1" s="1"/>
  <c r="B53" i="1" a="1"/>
  <c r="B53" i="1" s="1"/>
  <c r="B52" i="1" a="1"/>
  <c r="B52" i="1" s="1"/>
  <c r="B51" i="1" a="1"/>
  <c r="B51" i="1" s="1"/>
  <c r="B50" i="1" a="1"/>
  <c r="B50" i="1" s="1"/>
  <c r="B49" i="1" a="1"/>
  <c r="B49" i="1" s="1"/>
  <c r="B48" i="1" a="1"/>
  <c r="B48" i="1" s="1"/>
  <c r="B47" i="1" a="1"/>
  <c r="B47" i="1" s="1"/>
  <c r="B46" i="1" a="1"/>
  <c r="B46" i="1" s="1"/>
  <c r="B45" i="1" a="1"/>
  <c r="B45" i="1" s="1"/>
  <c r="B44" i="1" a="1"/>
  <c r="B44" i="1" s="1"/>
  <c r="B43" i="1" a="1"/>
  <c r="B43" i="1" s="1"/>
  <c r="B42" i="1" a="1"/>
  <c r="B42" i="1" s="1"/>
  <c r="B41" i="1" a="1"/>
  <c r="B41" i="1" s="1"/>
  <c r="B40" i="1" a="1"/>
  <c r="B39" i="1" a="1"/>
  <c r="B38" i="1" a="1"/>
  <c r="B38" i="1" s="1"/>
  <c r="B37" i="1" a="1"/>
  <c r="B37" i="1" s="1"/>
  <c r="B36" i="1" a="1"/>
  <c r="B36" i="1" s="1"/>
  <c r="B35" i="1" a="1"/>
  <c r="B35" i="1" s="1"/>
  <c r="B34" i="1" a="1"/>
  <c r="B34" i="1" s="1"/>
  <c r="B33" i="1" a="1"/>
  <c r="B33" i="1" s="1"/>
  <c r="B32" i="1" a="1"/>
  <c r="B32" i="1" s="1"/>
  <c r="B31" i="1" a="1"/>
  <c r="B31" i="1" s="1"/>
  <c r="B30" i="1" a="1"/>
  <c r="B30" i="1" s="1"/>
  <c r="B29" i="1" a="1"/>
  <c r="B29" i="1" s="1"/>
  <c r="B28" i="1" a="1"/>
  <c r="B28" i="1" s="1"/>
  <c r="B27" i="1" a="1"/>
  <c r="B27" i="1" s="1"/>
  <c r="B26" i="1" a="1"/>
  <c r="B26" i="1" s="1"/>
  <c r="B25" i="1" a="1"/>
  <c r="B25" i="1" s="1"/>
  <c r="B24" i="1" a="1"/>
  <c r="B24" i="1" s="1"/>
  <c r="B23" i="1" a="1"/>
  <c r="B22" i="1" a="1"/>
  <c r="B22" i="1" s="1"/>
  <c r="B21" i="1" a="1"/>
  <c r="B21" i="1" s="1"/>
  <c r="B20" i="1" a="1"/>
  <c r="B20" i="1" s="1"/>
  <c r="B19" i="1" a="1"/>
  <c r="B19" i="1" s="1"/>
  <c r="B18" i="1" a="1"/>
  <c r="B18" i="1" s="1"/>
  <c r="B17" i="1" a="1"/>
  <c r="B17" i="1" s="1"/>
  <c r="B16" i="1" a="1"/>
  <c r="B16" i="1" s="1"/>
  <c r="B15" i="1" a="1"/>
  <c r="B15" i="1" s="1"/>
  <c r="B14" i="1" a="1"/>
  <c r="B14" i="1" s="1"/>
  <c r="B13" i="1" a="1"/>
  <c r="B13" i="1" s="1"/>
  <c r="B12" i="1" a="1"/>
  <c r="B12" i="1" s="1"/>
  <c r="B11" i="1" a="1"/>
  <c r="B11" i="1" s="1"/>
  <c r="B10" i="1" a="1"/>
  <c r="B10" i="1" s="1"/>
  <c r="B9" i="1" a="1"/>
  <c r="B9" i="1" s="1"/>
  <c r="B8" i="1" a="1"/>
  <c r="B8" i="1" s="1"/>
  <c r="B7" i="1" a="1"/>
  <c r="B7" i="1" s="1"/>
  <c r="B6" i="1" a="1"/>
  <c r="B6" i="1" s="1"/>
  <c r="B5" i="1" a="1"/>
  <c r="B5" i="1" s="1"/>
  <c r="B4" i="1" a="1"/>
  <c r="B4" i="1" s="1"/>
  <c r="B3" i="1" a="1"/>
  <c r="B3" i="1" s="1"/>
  <c r="B2" i="1" a="1"/>
  <c r="B2" i="1" s="1"/>
  <c r="AE101" i="1"/>
  <c r="AE57" i="1"/>
  <c r="AE35" i="1"/>
  <c r="AE32" i="1"/>
  <c r="AE76" i="1"/>
  <c r="AE73" i="1"/>
  <c r="AE27" i="1"/>
  <c r="AE38" i="1"/>
  <c r="AE115" i="1"/>
  <c r="AE80" i="1"/>
  <c r="AE164" i="1"/>
  <c r="AE163" i="1"/>
  <c r="AE162" i="1"/>
  <c r="AE161" i="1"/>
  <c r="AE160" i="1"/>
  <c r="AE157" i="1"/>
  <c r="AE159" i="1"/>
  <c r="AE158" i="1"/>
  <c r="AE156" i="1"/>
  <c r="AE155" i="1"/>
  <c r="AE153" i="1"/>
  <c r="AE154" i="1"/>
  <c r="AE150" i="1"/>
  <c r="AE152" i="1"/>
  <c r="AE151" i="1"/>
  <c r="AE149" i="1"/>
  <c r="AE148" i="1"/>
  <c r="AE147" i="1"/>
  <c r="AE146" i="1"/>
  <c r="AE141" i="1"/>
  <c r="AE139" i="1"/>
  <c r="AE145" i="1"/>
  <c r="AE144" i="1"/>
  <c r="AE143" i="1"/>
  <c r="AE142" i="1"/>
  <c r="AE140" i="1"/>
  <c r="AE138" i="1"/>
  <c r="AE137" i="1"/>
  <c r="AE136" i="1"/>
  <c r="AE135" i="1"/>
  <c r="AE134" i="1"/>
  <c r="AE133" i="1"/>
  <c r="AE132" i="1"/>
  <c r="AE128" i="1"/>
  <c r="AE131" i="1"/>
  <c r="AE130" i="1"/>
  <c r="AE129" i="1"/>
  <c r="AE127" i="1"/>
  <c r="AE126" i="1"/>
  <c r="AE125" i="1"/>
  <c r="AE124" i="1"/>
  <c r="AE123" i="1"/>
  <c r="AE122" i="1"/>
  <c r="AE121" i="1"/>
  <c r="AE120" i="1"/>
  <c r="AE118" i="1"/>
  <c r="AE119" i="1"/>
  <c r="AE113" i="1"/>
  <c r="AE117" i="1"/>
  <c r="AE116" i="1"/>
  <c r="AE114" i="1"/>
  <c r="AE112" i="1"/>
  <c r="AE108" i="1"/>
  <c r="AE111" i="1"/>
  <c r="AE110" i="1"/>
  <c r="AE109" i="1"/>
  <c r="AE100" i="1"/>
  <c r="AE107" i="1"/>
  <c r="AE104" i="1"/>
  <c r="AE106" i="1"/>
  <c r="AE105" i="1"/>
  <c r="AE103" i="1"/>
  <c r="AE102" i="1"/>
  <c r="AE98" i="1"/>
  <c r="AE99" i="1"/>
  <c r="AE95" i="1"/>
  <c r="AE94" i="1"/>
  <c r="AE96" i="1"/>
  <c r="AE93" i="1"/>
  <c r="AE92" i="1"/>
  <c r="AE91" i="1"/>
  <c r="AE165" i="1"/>
  <c r="AE87" i="1"/>
  <c r="AE90" i="1"/>
  <c r="AE97" i="1"/>
  <c r="AE89" i="1"/>
  <c r="AE88" i="1"/>
  <c r="AE86" i="1"/>
  <c r="AE78" i="1"/>
  <c r="AE85" i="1"/>
  <c r="AE84" i="1"/>
  <c r="AE83" i="1"/>
  <c r="AE82" i="1"/>
  <c r="AE81" i="1"/>
  <c r="AE79" i="1"/>
  <c r="AE77" i="1"/>
  <c r="AE75" i="1"/>
  <c r="AE74" i="1"/>
  <c r="AE69" i="1"/>
  <c r="AE72" i="1"/>
  <c r="AE71" i="1"/>
  <c r="AE68" i="1"/>
  <c r="AE67" i="1"/>
  <c r="AE66" i="1"/>
  <c r="AE65" i="1"/>
  <c r="AE64" i="1"/>
  <c r="AE61" i="1"/>
  <c r="AE63" i="1"/>
  <c r="AE62" i="1"/>
  <c r="AE60" i="1"/>
  <c r="AE58" i="1"/>
  <c r="AE56" i="1"/>
  <c r="AE51" i="1"/>
  <c r="AE55" i="1"/>
  <c r="AE54" i="1"/>
  <c r="AE53" i="1"/>
  <c r="AE52" i="1"/>
  <c r="AE59" i="1"/>
  <c r="AE48" i="1"/>
  <c r="AE46" i="1"/>
  <c r="AE50" i="1"/>
  <c r="AE49" i="1"/>
  <c r="AE47" i="1"/>
  <c r="AE45" i="1"/>
  <c r="AE44" i="1"/>
  <c r="AE43" i="1"/>
  <c r="AE42" i="1"/>
  <c r="AE41" i="1"/>
  <c r="AE40" i="1"/>
  <c r="AE39" i="1"/>
  <c r="AE70" i="1"/>
  <c r="AE33" i="1"/>
  <c r="AE37" i="1"/>
  <c r="AE36" i="1"/>
  <c r="AE34" i="1"/>
  <c r="AE31" i="1"/>
  <c r="AE30" i="1"/>
  <c r="AE29" i="1"/>
  <c r="AE28" i="1"/>
  <c r="AE26" i="1"/>
  <c r="AE24" i="1"/>
  <c r="AE23" i="1"/>
  <c r="AE22" i="1"/>
  <c r="AE21" i="1"/>
  <c r="AE25" i="1"/>
  <c r="AE19" i="1"/>
  <c r="AE18" i="1"/>
  <c r="AE16" i="1"/>
  <c r="AE14" i="1"/>
  <c r="AE20" i="1"/>
  <c r="AE13" i="1"/>
  <c r="AE11" i="1"/>
  <c r="AE17" i="1"/>
  <c r="AE12" i="1"/>
  <c r="AE15" i="1"/>
  <c r="AE10" i="1"/>
  <c r="AE8" i="1"/>
  <c r="AE7" i="1"/>
  <c r="AE6" i="1"/>
  <c r="AE5" i="1"/>
  <c r="AE4" i="1"/>
  <c r="AE9" i="1"/>
  <c r="AE3" i="1"/>
  <c r="AE2" i="1"/>
  <c r="P6" i="5" l="1"/>
  <c r="P7" i="5"/>
  <c r="P9" i="5"/>
  <c r="P14" i="5"/>
  <c r="P3" i="5"/>
  <c r="P10" i="5"/>
  <c r="P8" i="5"/>
  <c r="P13" i="5"/>
  <c r="P2" i="5"/>
  <c r="P12" i="5"/>
  <c r="P4" i="5"/>
  <c r="P11" i="5"/>
  <c r="P5" i="5"/>
  <c r="P15" i="5"/>
  <c r="B159" i="1"/>
  <c r="B153" i="1"/>
  <c r="B136" i="1"/>
  <c r="B62" i="1"/>
  <c r="B107" i="1"/>
  <c r="B130" i="1"/>
  <c r="B86" i="1"/>
  <c r="B82" i="1"/>
  <c r="B81" i="1"/>
  <c r="B40" i="1"/>
  <c r="B39" i="1"/>
  <c r="B23" i="1"/>
  <c r="B160" i="1"/>
  <c r="B151" i="1"/>
  <c r="B120" i="1"/>
  <c r="B75" i="1"/>
  <c r="B162" i="1"/>
  <c r="B158" i="1"/>
  <c r="B154" i="1"/>
  <c r="B161" i="1"/>
  <c r="B156" i="1"/>
  <c r="B15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<sst xmlns="http://schemas.openxmlformats.org/spreadsheetml/2006/main" count="4011" uniqueCount="973">
  <si>
    <t>PID</t>
  </si>
  <si>
    <t>FirstName</t>
  </si>
  <si>
    <t>LastName</t>
  </si>
  <si>
    <t>Position</t>
  </si>
  <si>
    <t>Age</t>
  </si>
  <si>
    <t>PA</t>
  </si>
  <si>
    <t>HR</t>
  </si>
  <si>
    <t>Career_Games_Played</t>
  </si>
  <si>
    <t>Career_Games_Possible</t>
  </si>
  <si>
    <t>Career_Availability_Pct</t>
  </si>
  <si>
    <t>Win_Pct</t>
  </si>
  <si>
    <t>Career_Wins</t>
  </si>
  <si>
    <t>Career_Losses</t>
  </si>
  <si>
    <t>convBA_F25</t>
  </si>
  <si>
    <t>convBA_S25</t>
  </si>
  <si>
    <t>convBA_W25</t>
  </si>
  <si>
    <t>convBA+_F25</t>
  </si>
  <si>
    <t>convBA+_S25</t>
  </si>
  <si>
    <t>convBA+_W25</t>
  </si>
  <si>
    <t>Weighted_convBA+</t>
  </si>
  <si>
    <t>Seasons_Used</t>
  </si>
  <si>
    <t>Confidence</t>
  </si>
  <si>
    <t>Confidence_Pct</t>
  </si>
  <si>
    <t>Def_Spectrum_Pts</t>
  </si>
  <si>
    <t>Age_Factor</t>
  </si>
  <si>
    <t>Manual_Adj</t>
  </si>
  <si>
    <t>Availability_Adj</t>
  </si>
  <si>
    <t>Ranking_Score</t>
  </si>
  <si>
    <t>Availability</t>
  </si>
  <si>
    <t>Brian</t>
  </si>
  <si>
    <t>Brown</t>
  </si>
  <si>
    <t>MI</t>
  </si>
  <si>
    <t>F25, S25, W25</t>
  </si>
  <si>
    <t>A</t>
  </si>
  <si>
    <t>around 2 games</t>
  </si>
  <si>
    <t>Mike</t>
  </si>
  <si>
    <t>Cudworth</t>
  </si>
  <si>
    <t>LC</t>
  </si>
  <si>
    <t>F25, W24, F23</t>
  </si>
  <si>
    <t>I will miss 2 games due to tournaments, I don't have the dates yet.</t>
  </si>
  <si>
    <t>Kevin</t>
  </si>
  <si>
    <t>Hayes</t>
  </si>
  <si>
    <t>P</t>
  </si>
  <si>
    <t>W25, W24, W23</t>
  </si>
  <si>
    <t>Left knee injury. Enter badge ID as 123456 as I won't have my ID until I arrive in January-will supply then.</t>
  </si>
  <si>
    <t>Tim</t>
  </si>
  <si>
    <t>Walker</t>
  </si>
  <si>
    <t>LF</t>
  </si>
  <si>
    <t>F25, W25</t>
  </si>
  <si>
    <t>B</t>
  </si>
  <si>
    <t>Might miss a couple Fridays due to travel/tournament ball.</t>
  </si>
  <si>
    <t>Scott</t>
  </si>
  <si>
    <t>Jackson</t>
  </si>
  <si>
    <t>One week for vacation not sure of the date</t>
  </si>
  <si>
    <t>Dave</t>
  </si>
  <si>
    <t>Glover</t>
  </si>
  <si>
    <t>F25, W25, F24</t>
  </si>
  <si>
    <t>Should be available entire season.</t>
  </si>
  <si>
    <t>Craig</t>
  </si>
  <si>
    <t>Horton</t>
  </si>
  <si>
    <t>Undetermined</t>
  </si>
  <si>
    <t>Sanders</t>
  </si>
  <si>
    <t>There may be a few Fridays missed due to tournament commitments.  Will know more when the sanctions publish their schedules most likely in December.</t>
  </si>
  <si>
    <t>Glen</t>
  </si>
  <si>
    <t>Noll</t>
  </si>
  <si>
    <t>maybe up to 3 tournaments on Fridays.
May need a runner 25% of the time (Pete, its done)</t>
  </si>
  <si>
    <t>Jim</t>
  </si>
  <si>
    <t>Keller</t>
  </si>
  <si>
    <t>Out jan 16
Peroni's acts up on full moons. It pulls it to the right. But i still get marcos</t>
  </si>
  <si>
    <t>Eric</t>
  </si>
  <si>
    <t>Janosov</t>
  </si>
  <si>
    <t>SS</t>
  </si>
  <si>
    <t>I currently do not have my tournament schedule for 2026</t>
  </si>
  <si>
    <t>Kirby</t>
  </si>
  <si>
    <t>Herschberger</t>
  </si>
  <si>
    <t>Will miss Feb 25th. May miss Jan 30th depends on game time. I had right hip replaced Nov 5th. I'm doing really well. I think I'll be able to play at 75%-80% by start of season. If you want to know how I'm feeling you can call me on draft day or before.</t>
  </si>
  <si>
    <t>Atkin</t>
  </si>
  <si>
    <t>RC</t>
  </si>
  <si>
    <t>OUT: Jan 23, Jan 30, Mar 13, Apr 10 and likely 2 more dates.</t>
  </si>
  <si>
    <t>Peter</t>
  </si>
  <si>
    <t>Zrinski</t>
  </si>
  <si>
    <t>Darrell</t>
  </si>
  <si>
    <t>Phillips</t>
  </si>
  <si>
    <t>Cesar</t>
  </si>
  <si>
    <t>Gelle</t>
  </si>
  <si>
    <t>F25</t>
  </si>
  <si>
    <t>D</t>
  </si>
  <si>
    <t>Jason</t>
  </si>
  <si>
    <t>Johnson</t>
  </si>
  <si>
    <t>Cruise Jan 4-11-season wasn't supposed to start till Jan 12th
Tourney Jan 23-may be able to play depends on what time games start
Tourney Jan 28-may be able to play depends on what time games start
Cruise Feb 5-15
Tourney March 13-may be able to play depends on what time games start
Cruise Mar 21-25
looks like I could miss up to 9 games</t>
  </si>
  <si>
    <t>David</t>
  </si>
  <si>
    <t>Teasley</t>
  </si>
  <si>
    <t>2B</t>
  </si>
  <si>
    <t>S25</t>
  </si>
  <si>
    <t>F</t>
  </si>
  <si>
    <t>May need an occasional runner</t>
  </si>
  <si>
    <t>Terry</t>
  </si>
  <si>
    <t>Jozefiak</t>
  </si>
  <si>
    <t>Bill</t>
  </si>
  <si>
    <t>Devine</t>
  </si>
  <si>
    <t>Patrick</t>
  </si>
  <si>
    <t>Sipkovsky</t>
  </si>
  <si>
    <t>W25</t>
  </si>
  <si>
    <t>ISSA/WBSC World Tournament of Champions - should only miss 1/30/26</t>
  </si>
  <si>
    <t>Mark</t>
  </si>
  <si>
    <t>Golden</t>
  </si>
  <si>
    <t>W25, F24, W24</t>
  </si>
  <si>
    <t>Possibly a tournament or 2</t>
  </si>
  <si>
    <t>Baxter</t>
  </si>
  <si>
    <t>Anthony</t>
  </si>
  <si>
    <t>Saracino</t>
  </si>
  <si>
    <t>F25, W25, W24</t>
  </si>
  <si>
    <t>Ron</t>
  </si>
  <si>
    <t>Stauffer</t>
  </si>
  <si>
    <t>Ray</t>
  </si>
  <si>
    <t>Pour</t>
  </si>
  <si>
    <t>At this time, I will miss 0 games</t>
  </si>
  <si>
    <t>Rich</t>
  </si>
  <si>
    <t>Lapat</t>
  </si>
  <si>
    <t>I may have to travel for work, I usually only travel about once a quarter for roughly a week. I won't know of any trips until approximately 2 weeks prior.</t>
  </si>
  <si>
    <t>Robert</t>
  </si>
  <si>
    <t>Myers</t>
  </si>
  <si>
    <t>Out of town on March 13 and April 3</t>
  </si>
  <si>
    <t>Gary</t>
  </si>
  <si>
    <t>Allen</t>
  </si>
  <si>
    <t>Start of 2026 winter season</t>
  </si>
  <si>
    <t>Rick</t>
  </si>
  <si>
    <t>Sunderman</t>
  </si>
  <si>
    <t>Could miss couple for tournaments do not have dates yet</t>
  </si>
  <si>
    <t>Dean</t>
  </si>
  <si>
    <t>LaFlamme</t>
  </si>
  <si>
    <t>Presently none.  Might have an odd day here or there</t>
  </si>
  <si>
    <t>Christopher</t>
  </si>
  <si>
    <t>Altemus</t>
  </si>
  <si>
    <t>March 4, 2026
March 6, 2026</t>
  </si>
  <si>
    <t>Winters</t>
  </si>
  <si>
    <t>3B</t>
  </si>
  <si>
    <t>Chuck</t>
  </si>
  <si>
    <t>Greene</t>
  </si>
  <si>
    <t>1B</t>
  </si>
  <si>
    <t>I'm having knees issues.  Unsure whether I'll need a runner.  Unknown on missing games. May miss some games due to work.</t>
  </si>
  <si>
    <t>Doug</t>
  </si>
  <si>
    <t>Goslee</t>
  </si>
  <si>
    <t>RF</t>
  </si>
  <si>
    <t>BAD KNEES</t>
  </si>
  <si>
    <t>Troy</t>
  </si>
  <si>
    <t>Soeder</t>
  </si>
  <si>
    <t>D1 Board - Please try to have the season end by 2 April. I have coordinated ~15 players to work security at the Masters and we have to be a "out of town" employee training on Friday 3 April.</t>
  </si>
  <si>
    <t>McDermott</t>
  </si>
  <si>
    <t>march 4 &amp; 6 vacation</t>
  </si>
  <si>
    <t>Okunze</t>
  </si>
  <si>
    <t>None at this time</t>
  </si>
  <si>
    <t>Bert</t>
  </si>
  <si>
    <t>Owens</t>
  </si>
  <si>
    <t>away w/e 1/17/2026</t>
  </si>
  <si>
    <t>Donny</t>
  </si>
  <si>
    <t>Meyer</t>
  </si>
  <si>
    <t>1/7/26</t>
  </si>
  <si>
    <t>Michael</t>
  </si>
  <si>
    <t>vacation: 2/11, 13 and maybe 18.  60 caliber travel team - tournaments tbd</t>
  </si>
  <si>
    <t>Matt</t>
  </si>
  <si>
    <t>Socha</t>
  </si>
  <si>
    <t>Left hamstring injury continuing.</t>
  </si>
  <si>
    <t>Kenyon</t>
  </si>
  <si>
    <t>No dates missed</t>
  </si>
  <si>
    <t>Ryan</t>
  </si>
  <si>
    <t>Hilmer</t>
  </si>
  <si>
    <t>I am planning a knee replacement for the end of winter season. I can hit okay, play 1st base, catcher, and probably 3rd base reasonably well, but am limited in my running and range. I will likely need a runner most times.</t>
  </si>
  <si>
    <t>Faggiana</t>
  </si>
  <si>
    <t>Paul</t>
  </si>
  <si>
    <t>Davis</t>
  </si>
  <si>
    <t>Gone January 15-18</t>
  </si>
  <si>
    <t>Christensen</t>
  </si>
  <si>
    <t>none</t>
  </si>
  <si>
    <t>Koblas</t>
  </si>
  <si>
    <t>Fortier</t>
  </si>
  <si>
    <t>S25, W25, F24</t>
  </si>
  <si>
    <t>Will make all games</t>
  </si>
  <si>
    <t>Shawn</t>
  </si>
  <si>
    <t>Mulholland</t>
  </si>
  <si>
    <t>Jose</t>
  </si>
  <si>
    <t>Almaguer</t>
  </si>
  <si>
    <t>Vacation Jan. 18 - Jan. 25</t>
  </si>
  <si>
    <t>Dan</t>
  </si>
  <si>
    <t>Osredkar</t>
  </si>
  <si>
    <t>0</t>
  </si>
  <si>
    <t>Bond</t>
  </si>
  <si>
    <t>Jeff</t>
  </si>
  <si>
    <t>Gunn</t>
  </si>
  <si>
    <t xml:space="preserve">MI </t>
  </si>
  <si>
    <t>Keith</t>
  </si>
  <si>
    <t>Egofske</t>
  </si>
  <si>
    <t>C</t>
  </si>
  <si>
    <t>Will most likely miss the first week of the season. Bad hamstring injured late in the Fall season.</t>
  </si>
  <si>
    <t>Sadler</t>
  </si>
  <si>
    <t>No planned missed dates.</t>
  </si>
  <si>
    <t>Hanna</t>
  </si>
  <si>
    <t>S25, F24, S24</t>
  </si>
  <si>
    <t>Miller</t>
  </si>
  <si>
    <t>No known missed dates</t>
  </si>
  <si>
    <t>Nash</t>
  </si>
  <si>
    <t>Will be out February 11, 13, 27 and April 1</t>
  </si>
  <si>
    <t>Arenella</t>
  </si>
  <si>
    <t>No dates to be missed at this time
No injuries or limitations</t>
  </si>
  <si>
    <t>Brad</t>
  </si>
  <si>
    <t>West</t>
  </si>
  <si>
    <t>nothing</t>
  </si>
  <si>
    <t>Jones</t>
  </si>
  <si>
    <t>Fred</t>
  </si>
  <si>
    <t>Leibowitz</t>
  </si>
  <si>
    <t>Possibly a few games (3) missed in January.</t>
  </si>
  <si>
    <t>Valley</t>
  </si>
  <si>
    <t>Available all dates.</t>
  </si>
  <si>
    <t>Fugate</t>
  </si>
  <si>
    <t>As of now none planned</t>
  </si>
  <si>
    <t>Steve</t>
  </si>
  <si>
    <t>Spinosa</t>
  </si>
  <si>
    <t>Not available Feb 4 and Feb 6 2026</t>
  </si>
  <si>
    <t>Tom</t>
  </si>
  <si>
    <t>Pratt</t>
  </si>
  <si>
    <t>3 games</t>
  </si>
  <si>
    <t>Joey</t>
  </si>
  <si>
    <t>Doyle</t>
  </si>
  <si>
    <t>Motta</t>
  </si>
  <si>
    <t>Unknown at this time</t>
  </si>
  <si>
    <t>Jamie</t>
  </si>
  <si>
    <t>Hall</t>
  </si>
  <si>
    <t>Hage</t>
  </si>
  <si>
    <t>Shurman</t>
  </si>
  <si>
    <t>F25, F24, S24</t>
  </si>
  <si>
    <t>Jan</t>
  </si>
  <si>
    <t>Held</t>
  </si>
  <si>
    <t>Will miss 3-4 games due to tournaments.</t>
  </si>
  <si>
    <t>Greg</t>
  </si>
  <si>
    <t>Williams</t>
  </si>
  <si>
    <t>No dates scheduled to be missed. Previous rotator cuff surgery on throwing shoulder prevents me from playing SS.</t>
  </si>
  <si>
    <t>Welch</t>
  </si>
  <si>
    <t>I am coming off a groin area tear and will need to start the season at 1B or C.  Right now everything feels great looks like it will be  healed thru rehab, etc and hopefully I will be good to play OF (if needed) starting in February.  I will be gone 1/24-31</t>
  </si>
  <si>
    <t>Bormann</t>
  </si>
  <si>
    <t>Schnell</t>
  </si>
  <si>
    <t>Kelly</t>
  </si>
  <si>
    <t>Gavin</t>
  </si>
  <si>
    <t>Mason</t>
  </si>
  <si>
    <t>F24, S24, W24</t>
  </si>
  <si>
    <t>Week vacation in March, no dates set.</t>
  </si>
  <si>
    <t>Ernie</t>
  </si>
  <si>
    <t>Vandersteen</t>
  </si>
  <si>
    <t>Won't miss</t>
  </si>
  <si>
    <t>Sean</t>
  </si>
  <si>
    <t>O'Sullivan</t>
  </si>
  <si>
    <t>W25, F22, W21</t>
  </si>
  <si>
    <t>1 week February 17 to 25</t>
  </si>
  <si>
    <t>Frank</t>
  </si>
  <si>
    <t>Randazzo</t>
  </si>
  <si>
    <t>F23, S23, W23</t>
  </si>
  <si>
    <t>Royce</t>
  </si>
  <si>
    <t>Missing Mar 9-13 for tournament.</t>
  </si>
  <si>
    <t>Propert</t>
  </si>
  <si>
    <t>Jeffrey</t>
  </si>
  <si>
    <t>Lyons</t>
  </si>
  <si>
    <t>None missed</t>
  </si>
  <si>
    <t>Don</t>
  </si>
  <si>
    <t>Geisler</t>
  </si>
  <si>
    <t>Wiener</t>
  </si>
  <si>
    <t>Available for all games</t>
  </si>
  <si>
    <t>Randy</t>
  </si>
  <si>
    <t>Murgittroyd</t>
  </si>
  <si>
    <t>Staub</t>
  </si>
  <si>
    <t>W25, F22, W22</t>
  </si>
  <si>
    <t>Not sure of dates missed yet. Might be a few..
No injuries</t>
  </si>
  <si>
    <t>Webb</t>
  </si>
  <si>
    <t>Out of town 2nd week of February, missing both games that week.</t>
  </si>
  <si>
    <t>Quirk</t>
  </si>
  <si>
    <t>Wade</t>
  </si>
  <si>
    <t>Maribito</t>
  </si>
  <si>
    <t>No limitations</t>
  </si>
  <si>
    <t>Joe</t>
  </si>
  <si>
    <t>Phipps</t>
  </si>
  <si>
    <t>Thomas</t>
  </si>
  <si>
    <t>no dates missed</t>
  </si>
  <si>
    <t>Pfundstein</t>
  </si>
  <si>
    <t>May miss 1 or 2 games in  Feb.</t>
  </si>
  <si>
    <t>Chris</t>
  </si>
  <si>
    <t>Schubert</t>
  </si>
  <si>
    <t>Vacation - 1/7, 1/9, 3/18 &amp; 3/20</t>
  </si>
  <si>
    <t>Abildgaard</t>
  </si>
  <si>
    <t>Calvin</t>
  </si>
  <si>
    <t>Driskill</t>
  </si>
  <si>
    <t>S25, W25, S24</t>
  </si>
  <si>
    <t>Bob</t>
  </si>
  <si>
    <t>Fingerhut</t>
  </si>
  <si>
    <t>Available entire season, no injuries or limitations.</t>
  </si>
  <si>
    <t>Trey</t>
  </si>
  <si>
    <t>Cruser</t>
  </si>
  <si>
    <t>Jack</t>
  </si>
  <si>
    <t>Reed</t>
  </si>
  <si>
    <t>W25, W24</t>
  </si>
  <si>
    <t>No limitations, no travel planned</t>
  </si>
  <si>
    <t>Merz</t>
  </si>
  <si>
    <t>No anticipated absences at this time.</t>
  </si>
  <si>
    <t>Maxwell</t>
  </si>
  <si>
    <t>On a cruise Jan 31-Feb 7 (2 games)</t>
  </si>
  <si>
    <t>Mack</t>
  </si>
  <si>
    <t>Burke</t>
  </si>
  <si>
    <t>Cataldi</t>
  </si>
  <si>
    <t>No Limitations. I should be here for the entire season.</t>
  </si>
  <si>
    <t>Riley</t>
  </si>
  <si>
    <t>Moyer</t>
  </si>
  <si>
    <t>Na</t>
  </si>
  <si>
    <t>Boyden</t>
  </si>
  <si>
    <t>F25, W25, S24</t>
  </si>
  <si>
    <t>Miss all games after 4/6/26</t>
  </si>
  <si>
    <t>Domeier</t>
  </si>
  <si>
    <t>Kurtis</t>
  </si>
  <si>
    <t>Lamb</t>
  </si>
  <si>
    <t>Turney</t>
  </si>
  <si>
    <t>F25, S25</t>
  </si>
  <si>
    <t>Possible vacation Mar 21-30, 2026</t>
  </si>
  <si>
    <t>Cecil</t>
  </si>
  <si>
    <t>Rankin</t>
  </si>
  <si>
    <t>Rivard</t>
  </si>
  <si>
    <t>Diliddo</t>
  </si>
  <si>
    <t>#6 DILIDDO XL
#6 DILIDDO. SM
Resubmit...</t>
  </si>
  <si>
    <t>Bohn</t>
  </si>
  <si>
    <t>none known</t>
  </si>
  <si>
    <t>Warble</t>
  </si>
  <si>
    <t>Linwood</t>
  </si>
  <si>
    <t>Manning</t>
  </si>
  <si>
    <t>Darwin</t>
  </si>
  <si>
    <t>Roth</t>
  </si>
  <si>
    <t>I currently have no dates for missing games for this season.  I Will notify manager if I do have any come up.</t>
  </si>
  <si>
    <t>Otman</t>
  </si>
  <si>
    <t>Twohig</t>
  </si>
  <si>
    <t>21 to 27 Feb</t>
  </si>
  <si>
    <t>Ford</t>
  </si>
  <si>
    <t>Buchanan</t>
  </si>
  <si>
    <t>William</t>
  </si>
  <si>
    <t>Saar</t>
  </si>
  <si>
    <t>W25, W24, F23</t>
  </si>
  <si>
    <t>John</t>
  </si>
  <si>
    <t>Christo</t>
  </si>
  <si>
    <t>Will be away Feb 2 through Feb 10.    Should be at all other games.</t>
  </si>
  <si>
    <t>Wayne</t>
  </si>
  <si>
    <t>Hauser</t>
  </si>
  <si>
    <t>no misses at this time</t>
  </si>
  <si>
    <t>Samuel</t>
  </si>
  <si>
    <t>Harrison</t>
  </si>
  <si>
    <t>Brimer</t>
  </si>
  <si>
    <t>None anticipated</t>
  </si>
  <si>
    <t>Kleisinger</t>
  </si>
  <si>
    <t>Will miss. 3/4/2026 and 3/6/2026</t>
  </si>
  <si>
    <t>Pete</t>
  </si>
  <si>
    <t>Glowacki</t>
  </si>
  <si>
    <t>Shelley</t>
  </si>
  <si>
    <t>Missing Jan 9 and potentially one week during season</t>
  </si>
  <si>
    <t>Sellars</t>
  </si>
  <si>
    <t>Limited running</t>
  </si>
  <si>
    <t>Bruce</t>
  </si>
  <si>
    <t>Breiner</t>
  </si>
  <si>
    <t>2/4 and 2/6</t>
  </si>
  <si>
    <t>Bergman</t>
  </si>
  <si>
    <t>Link</t>
  </si>
  <si>
    <t>Bernie</t>
  </si>
  <si>
    <t>Schmidt</t>
  </si>
  <si>
    <t>Missing last week of January for tournament</t>
  </si>
  <si>
    <t>Dennis</t>
  </si>
  <si>
    <t>DeVooght</t>
  </si>
  <si>
    <t>Jay</t>
  </si>
  <si>
    <t>Ketcik</t>
  </si>
  <si>
    <t>Hank</t>
  </si>
  <si>
    <t>Culley</t>
  </si>
  <si>
    <t>3-5 games</t>
  </si>
  <si>
    <t>DiCarlo</t>
  </si>
  <si>
    <t>Will miss 3 games:  Jan 23, 28, 30</t>
  </si>
  <si>
    <t>Rapps</t>
  </si>
  <si>
    <t>Available entire season</t>
  </si>
  <si>
    <t>Steven</t>
  </si>
  <si>
    <t>Hagen</t>
  </si>
  <si>
    <t>N A</t>
  </si>
  <si>
    <t>Geiler</t>
  </si>
  <si>
    <t>All season</t>
  </si>
  <si>
    <t>Cahill</t>
  </si>
  <si>
    <t>None at this time.</t>
  </si>
  <si>
    <t>Loftin</t>
  </si>
  <si>
    <t>Mitchell</t>
  </si>
  <si>
    <t>None Known</t>
  </si>
  <si>
    <t>Dahlquist</t>
  </si>
  <si>
    <t>none at this time</t>
  </si>
  <si>
    <t>Tripp</t>
  </si>
  <si>
    <t>O'Connor</t>
  </si>
  <si>
    <t>Darrel</t>
  </si>
  <si>
    <t>Smith</t>
  </si>
  <si>
    <t>Nutley</t>
  </si>
  <si>
    <t>Missing Mar 11 &amp; 13; April 8 &amp; 10</t>
  </si>
  <si>
    <t>Margevicius</t>
  </si>
  <si>
    <t>Albertsen</t>
  </si>
  <si>
    <t>NEW</t>
  </si>
  <si>
    <t>Costello</t>
  </si>
  <si>
    <t>No issues</t>
  </si>
  <si>
    <t>James</t>
  </si>
  <si>
    <t>No Known</t>
  </si>
  <si>
    <t>Freeman</t>
  </si>
  <si>
    <t>Genova</t>
  </si>
  <si>
    <t>Tampa tournament Fri, Sat, Sun end of Jan, beginning of Feb
Received a call from Dave Sanders that my phone number was incorrect on my first submission of the registration form so I have corrected the number and am resubmitting.  
Correct phone is 847-226-9574.  My apologies for the mistake,  Thanks!!</t>
  </si>
  <si>
    <t>Keane</t>
  </si>
  <si>
    <t>feb 25 and 27th</t>
  </si>
  <si>
    <t>Meeker</t>
  </si>
  <si>
    <t>None known</t>
  </si>
  <si>
    <t>Mossing</t>
  </si>
  <si>
    <t>Available for entire season</t>
  </si>
  <si>
    <t>Would not miss any less injury!🫣</t>
  </si>
  <si>
    <t>Rutherford</t>
  </si>
  <si>
    <t>Jan - Mar available (or mid April)</t>
  </si>
  <si>
    <t>PersonNumber</t>
  </si>
  <si>
    <t>Email</t>
  </si>
  <si>
    <t>Phone</t>
  </si>
  <si>
    <t>Position1</t>
  </si>
  <si>
    <t>Position2</t>
  </si>
  <si>
    <t>bill@leedconstruction.org</t>
  </si>
  <si>
    <t>(203) 631-8612</t>
  </si>
  <si>
    <t>OF</t>
  </si>
  <si>
    <t>Chamo510@yahoo.com</t>
  </si>
  <si>
    <t>(352) 801-3077</t>
  </si>
  <si>
    <t>garyanddonnaallen@gmail.com</t>
  </si>
  <si>
    <t>(813) 265-2200</t>
  </si>
  <si>
    <t>1B, 2B, MI, SS, 3B</t>
  </si>
  <si>
    <t>jalmaguer13@yahoo.com</t>
  </si>
  <si>
    <t>(305) 970-5408</t>
  </si>
  <si>
    <t>1B, 2B, MI, SS, 3B, P</t>
  </si>
  <si>
    <t>altemus@comcast.net</t>
  </si>
  <si>
    <t>(603) 714-4751</t>
  </si>
  <si>
    <t>itisginnie@me.com</t>
  </si>
  <si>
    <t>(603) 809-2230</t>
  </si>
  <si>
    <t>P, C</t>
  </si>
  <si>
    <t>scatkin13@gmail.com</t>
  </si>
  <si>
    <t>(317) 727-7404</t>
  </si>
  <si>
    <t>ibdbaxter397@gmail.com</t>
  </si>
  <si>
    <t>(469) 338-1506</t>
  </si>
  <si>
    <t>MI, OF</t>
  </si>
  <si>
    <t>bergy3275@aol.com</t>
  </si>
  <si>
    <t>(716) 417-9885</t>
  </si>
  <si>
    <t>MI, OF, P</t>
  </si>
  <si>
    <t>kluxem@aol.com</t>
  </si>
  <si>
    <t>(847) 212-5216</t>
  </si>
  <si>
    <t>gbond1965@yahoo.com</t>
  </si>
  <si>
    <t>(573) 301-6882</t>
  </si>
  <si>
    <t>2B, MI, 3B</t>
  </si>
  <si>
    <t>cpp37@allstate.com</t>
  </si>
  <si>
    <t>(228) 596-9151</t>
  </si>
  <si>
    <t>1B, MI, 3B, C</t>
  </si>
  <si>
    <t>boyden28@yahoo.com</t>
  </si>
  <si>
    <t>(352) 408-6687</t>
  </si>
  <si>
    <t>osubuxone@yahoo.com</t>
  </si>
  <si>
    <t>(352) 217-8996</t>
  </si>
  <si>
    <t>2B, OF</t>
  </si>
  <si>
    <t>markbrimerphd@aol.com</t>
  </si>
  <si>
    <t>(321) 508-3250</t>
  </si>
  <si>
    <t>brianbrown14@shaw.ca</t>
  </si>
  <si>
    <t>(403) 660-2249</t>
  </si>
  <si>
    <t>MI, SS</t>
  </si>
  <si>
    <t>craig.buchanan@hotmail.com</t>
  </si>
  <si>
    <t>(352) 552-3255</t>
  </si>
  <si>
    <t>jackburke3006@outlook.com</t>
  </si>
  <si>
    <t>(585) 410-4969</t>
  </si>
  <si>
    <t>john.cahill2@aol.com</t>
  </si>
  <si>
    <t>(478) 714-9809</t>
  </si>
  <si>
    <t>1B, P</t>
  </si>
  <si>
    <t>2B, MI, 3B, C</t>
  </si>
  <si>
    <t>jcatman8@aol.com</t>
  </si>
  <si>
    <t>(631) 680-4076</t>
  </si>
  <si>
    <t>bcecil82@yahoo.com</t>
  </si>
  <si>
    <t>(502) 889-1500</t>
  </si>
  <si>
    <t>2B, C</t>
  </si>
  <si>
    <t>p.e.christenson@outlook.com</t>
  </si>
  <si>
    <t>(905) 213-1177</t>
  </si>
  <si>
    <t>johnchristo@comcast.net</t>
  </si>
  <si>
    <t>(508) 847-2565</t>
  </si>
  <si>
    <t>2B, MI</t>
  </si>
  <si>
    <t>tcostello24@gmail.com</t>
  </si>
  <si>
    <t>(601) 331-8117</t>
  </si>
  <si>
    <t>robertwaynecruser@gmail.com</t>
  </si>
  <si>
    <t>(317) 694-6388</t>
  </si>
  <si>
    <t>cuddy67@yahoo.com</t>
  </si>
  <si>
    <t>(313) 600-6882</t>
  </si>
  <si>
    <t>bat131@aol.com</t>
  </si>
  <si>
    <t>(302) 312-9344</t>
  </si>
  <si>
    <t>1B, 2B, MI</t>
  </si>
  <si>
    <t>1B, 2B, MI, P</t>
  </si>
  <si>
    <t>craig.dahlquist@yahoo.com</t>
  </si>
  <si>
    <t>(816) 695-9516</t>
  </si>
  <si>
    <t>9394567@gmail.com</t>
  </si>
  <si>
    <t>(509) 939-4567</t>
  </si>
  <si>
    <t>2B, MI, SS, 3B</t>
  </si>
  <si>
    <t>pauldavis1026@msn.com</t>
  </si>
  <si>
    <t>(435) 671-7706</t>
  </si>
  <si>
    <t>billy27ball@gmail.com</t>
  </si>
  <si>
    <t>(352) 640-9665</t>
  </si>
  <si>
    <t>dennisdevooght@yahoo.com</t>
  </si>
  <si>
    <t>(248) 227-1818</t>
  </si>
  <si>
    <t>dicarlobill@gmail.com</t>
  </si>
  <si>
    <t>(352) 801-4840</t>
  </si>
  <si>
    <t>harleybear60@gmail.com</t>
  </si>
  <si>
    <t>(774) 200-9384</t>
  </si>
  <si>
    <t>dougpcs64@gmail.com</t>
  </si>
  <si>
    <t>(651) 470-7251</t>
  </si>
  <si>
    <t>3B, OF</t>
  </si>
  <si>
    <t>joeydoyle@icloud.com</t>
  </si>
  <si>
    <t>(352) 825-8344</t>
  </si>
  <si>
    <t>att3618@gmail.com</t>
  </si>
  <si>
    <t>(352) 492-8101</t>
  </si>
  <si>
    <t>1B, SS, 3B</t>
  </si>
  <si>
    <t>keithegofske@gmail.com</t>
  </si>
  <si>
    <t>(262) 751-2605</t>
  </si>
  <si>
    <t>faggija@gmail.com</t>
  </si>
  <si>
    <t>(203) 231-4430</t>
  </si>
  <si>
    <t>Spiritleads@me.com</t>
  </si>
  <si>
    <t>(609) 560-9221</t>
  </si>
  <si>
    <t>mike@rameys.com</t>
  </si>
  <si>
    <t>(601) 381-2712</t>
  </si>
  <si>
    <t>1B, 2B, MI, SS, 3B, C</t>
  </si>
  <si>
    <t>dafortier98@yahoo.com</t>
  </si>
  <si>
    <t>(630) 248-6927</t>
  </si>
  <si>
    <t>sfreemy22@gmail.com</t>
  </si>
  <si>
    <t>(603) 235-1556</t>
  </si>
  <si>
    <t>T.fugate63@gmail.com</t>
  </si>
  <si>
    <t>(734) 285-4055</t>
  </si>
  <si>
    <t>1B, MI</t>
  </si>
  <si>
    <t>rickgeiler@aol.com</t>
  </si>
  <si>
    <t>(860) 460-8491</t>
  </si>
  <si>
    <t>don.geisler53@gmail.com</t>
  </si>
  <si>
    <t>(352) 446-2787</t>
  </si>
  <si>
    <t>cgelle@yahoo.com</t>
  </si>
  <si>
    <t>(757) 630-4155</t>
  </si>
  <si>
    <t>genovas@yahoo.com</t>
  </si>
  <si>
    <t>(847) 226-9574</t>
  </si>
  <si>
    <t>davglove1@gmail.com</t>
  </si>
  <si>
    <t>(757) 803-3575</t>
  </si>
  <si>
    <t>pg60631@yahoo.com</t>
  </si>
  <si>
    <t>(732) 593-7302</t>
  </si>
  <si>
    <t>2B, 3B</t>
  </si>
  <si>
    <t>markagolden@hotmail.com</t>
  </si>
  <si>
    <t>(724) 591-3244</t>
  </si>
  <si>
    <t>DGOZZ22@YAHOO.COM</t>
  </si>
  <si>
    <t>(630) 277-7337</t>
  </si>
  <si>
    <t>cfg3_14@yahoo.com</t>
  </si>
  <si>
    <t>(352) 877-1218</t>
  </si>
  <si>
    <t>jeffgunn33@gmail.com</t>
  </si>
  <si>
    <t>(352) 855-0033</t>
  </si>
  <si>
    <t>MIKEHAGE@gmail.com</t>
  </si>
  <si>
    <t>(651) 983-5158</t>
  </si>
  <si>
    <t>Hagndaz1@verizon.net</t>
  </si>
  <si>
    <t>(917) 578-6680</t>
  </si>
  <si>
    <t>hall.jamie@gmail.com</t>
  </si>
  <si>
    <t>(813) 334-4846</t>
  </si>
  <si>
    <t>hanna554@comcast.net</t>
  </si>
  <si>
    <t>(425) 750-2440</t>
  </si>
  <si>
    <t>harrisons760@gmail.com</t>
  </si>
  <si>
    <t>(989) 709-0929</t>
  </si>
  <si>
    <t>tah4949@yahoo.com</t>
  </si>
  <si>
    <t>(352) 552-4394</t>
  </si>
  <si>
    <t>diane.hayes@dell.com</t>
  </si>
  <si>
    <t>(508) 981-8733</t>
  </si>
  <si>
    <t>heldjm@icloud.com</t>
  </si>
  <si>
    <t>(262) 385-7267</t>
  </si>
  <si>
    <t>kirbyherschberger@gmail.com</t>
  </si>
  <si>
    <t>(574) 535-8009</t>
  </si>
  <si>
    <t>1pet567@gmail.com</t>
  </si>
  <si>
    <t>(352) 205-2746</t>
  </si>
  <si>
    <t>1B, C</t>
  </si>
  <si>
    <t>1B, 3B, C</t>
  </si>
  <si>
    <t>ffwoody32@gmail.com</t>
  </si>
  <si>
    <t>(401) 640-8132</t>
  </si>
  <si>
    <t>scottandtiffany09@yahoo.com</t>
  </si>
  <si>
    <t>(270) 331-3193</t>
  </si>
  <si>
    <t>SS, OF</t>
  </si>
  <si>
    <t>LeeAnnJanosov4@gmail.com</t>
  </si>
  <si>
    <t>(309) 635-1813</t>
  </si>
  <si>
    <t>jason@premierjs.com</t>
  </si>
  <si>
    <t>(907) 232-9454</t>
  </si>
  <si>
    <t>mr8646j@gmail.com</t>
  </si>
  <si>
    <t>(612) 210-5291</t>
  </si>
  <si>
    <t>jonesey277@aol.com</t>
  </si>
  <si>
    <t>(609) 709-4713</t>
  </si>
  <si>
    <t>1B, 3B</t>
  </si>
  <si>
    <t>tajozefiak@aol.com</t>
  </si>
  <si>
    <t>(303) 246-7914</t>
  </si>
  <si>
    <t>1B, OF</t>
  </si>
  <si>
    <t>vebent11@aol.com</t>
  </si>
  <si>
    <t>(717) 649-1128</t>
  </si>
  <si>
    <t>jimm_keller@yahoo.com</t>
  </si>
  <si>
    <t>(414) 418-6511</t>
  </si>
  <si>
    <t>markclaytonkelly@gmail.com</t>
  </si>
  <si>
    <t>(703) 677-4133</t>
  </si>
  <si>
    <t>ronkenyon66@yahoo.com</t>
  </si>
  <si>
    <t>(617) 212-3661</t>
  </si>
  <si>
    <t>ketcikj@gmail.com</t>
  </si>
  <si>
    <t>(517) 290-8498</t>
  </si>
  <si>
    <t>theox07@comcast.net</t>
  </si>
  <si>
    <t>(248) 444-9452</t>
  </si>
  <si>
    <t>jkoblas@hotmail.com</t>
  </si>
  <si>
    <t>(612) 269-1061</t>
  </si>
  <si>
    <t>SS, 3B</t>
  </si>
  <si>
    <t>deanandmichele101@gmail.com</t>
  </si>
  <si>
    <t>(918) 327-3265</t>
  </si>
  <si>
    <t>kclamb@windstream.net</t>
  </si>
  <si>
    <t>(402) 949-0020</t>
  </si>
  <si>
    <t>rlapat21@gmail.com</t>
  </si>
  <si>
    <t>(267) 642-0211</t>
  </si>
  <si>
    <t>MI, SS, 3B</t>
  </si>
  <si>
    <t>fred@theleibowitzgroup.com</t>
  </si>
  <si>
    <t>(610) 745-1171</t>
  </si>
  <si>
    <t>OF, P</t>
  </si>
  <si>
    <t>Dianelink64@gmail.com</t>
  </si>
  <si>
    <t>(631) 495-4925</t>
  </si>
  <si>
    <t>jeffloftin436@gmail.com</t>
  </si>
  <si>
    <t>(407) 412-0180</t>
  </si>
  <si>
    <t>jeff.lyons25@gmail.com</t>
  </si>
  <si>
    <t>(352) 638-1712</t>
  </si>
  <si>
    <t>dmack1004@comcast.net</t>
  </si>
  <si>
    <t>(724) 550-6771</t>
  </si>
  <si>
    <t>linwoodm.28@gmail.com</t>
  </si>
  <si>
    <t>(757) 334-8692</t>
  </si>
  <si>
    <t>1B, 2B, MI, P, C</t>
  </si>
  <si>
    <t>kroeder@prodigy.net</t>
  </si>
  <si>
    <t>(216) 346-7900</t>
  </si>
  <si>
    <t>WADE.MARIBITO@GMAIL.COM</t>
  </si>
  <si>
    <t>(781) 983-1748</t>
  </si>
  <si>
    <t>wmaribito@yahoo.com</t>
  </si>
  <si>
    <t>(978) 844-6248</t>
  </si>
  <si>
    <t>gatorgav@gmail.com</t>
  </si>
  <si>
    <t>(210) 844-1922</t>
  </si>
  <si>
    <t>themaxwells@yahoo.com</t>
  </si>
  <si>
    <t>(916) 847-1349</t>
  </si>
  <si>
    <t>dmcderm555@aol.com</t>
  </si>
  <si>
    <t>(919) 824-4332</t>
  </si>
  <si>
    <t>Ace1bmx@comcast.net</t>
  </si>
  <si>
    <t>(217) 899-5779</t>
  </si>
  <si>
    <t>ericmerz1@gmail.com</t>
  </si>
  <si>
    <t>(559) 360-0950</t>
  </si>
  <si>
    <t>Drmeyer4575@yahoo.com</t>
  </si>
  <si>
    <t>(352) 571-9880</t>
  </si>
  <si>
    <t>jasonandlana@hotmail.com</t>
  </si>
  <si>
    <t>(301) 535-8382</t>
  </si>
  <si>
    <t>timothyRmiller5@gmail.com</t>
  </si>
  <si>
    <t>(313) 407-0920</t>
  </si>
  <si>
    <t>Bmit16@gmail.com</t>
  </si>
  <si>
    <t>(804) 640-7029</t>
  </si>
  <si>
    <t>rdmossing@gmail.com</t>
  </si>
  <si>
    <t>(810) 397-4595</t>
  </si>
  <si>
    <t>2B, MI, SS</t>
  </si>
  <si>
    <t>dmotta52@outlook.com</t>
  </si>
  <si>
    <t>(727) 458-1023</t>
  </si>
  <si>
    <t>david_moyer@icloud.com</t>
  </si>
  <si>
    <t>(706) 581-5598</t>
  </si>
  <si>
    <t>flyers9913@yahoo.com</t>
  </si>
  <si>
    <t>(917) 951-8255</t>
  </si>
  <si>
    <t>randy_murgittroyd@hotmail.com</t>
  </si>
  <si>
    <t>(740) 819-3261</t>
  </si>
  <si>
    <t>rmyers61@gmail.com</t>
  </si>
  <si>
    <t>(217) 497-7022</t>
  </si>
  <si>
    <t>jeffreyanash@icloud.com</t>
  </si>
  <si>
    <t>(919) 412-7947</t>
  </si>
  <si>
    <t>glen.noll@att.net</t>
  </si>
  <si>
    <t>(203) 206-0294</t>
  </si>
  <si>
    <t>glnut3@gmail.com</t>
  </si>
  <si>
    <t>(863) 808-0533</t>
  </si>
  <si>
    <t>trippoconnor1@gmail.com</t>
  </si>
  <si>
    <t>(309) 208-2471</t>
  </si>
  <si>
    <t>mro63@hotmail.com</t>
  </si>
  <si>
    <t>(760) 774-2389</t>
  </si>
  <si>
    <t>jimokunze@yahoo.com</t>
  </si>
  <si>
    <t>(734) 904-6300</t>
  </si>
  <si>
    <t>car1dan@yahoo.com</t>
  </si>
  <si>
    <t>(919) 384-6647</t>
  </si>
  <si>
    <t>mike.tia4835@gmail.com</t>
  </si>
  <si>
    <t>(248) 767-2749</t>
  </si>
  <si>
    <t>1B, OF, C</t>
  </si>
  <si>
    <t>bertwood55@gmail.com</t>
  </si>
  <si>
    <t>(914) 589-5795</t>
  </si>
  <si>
    <t>PaulPfun233@gmail.com</t>
  </si>
  <si>
    <t>(631) 428-7385</t>
  </si>
  <si>
    <t>OF, C</t>
  </si>
  <si>
    <t>darrellphillips9490@gmail.com</t>
  </si>
  <si>
    <t>(941) 221-1388</t>
  </si>
  <si>
    <t>joephipps1@aol.com</t>
  </si>
  <si>
    <t>(240) 271-4252</t>
  </si>
  <si>
    <t>rayp1960@me.com</t>
  </si>
  <si>
    <t>(618) 531-0559</t>
  </si>
  <si>
    <t>1B, 2B</t>
  </si>
  <si>
    <t>tomprattauto@gmail.com</t>
  </si>
  <si>
    <t>(607) 426-1941</t>
  </si>
  <si>
    <t>stevepropert@gmail.com</t>
  </si>
  <si>
    <t>(410) 952-9662</t>
  </si>
  <si>
    <t>bquirkie1@gmail.com</t>
  </si>
  <si>
    <t>(508) 818-0726</t>
  </si>
  <si>
    <t>ragu0005@yahoo.com</t>
  </si>
  <si>
    <t>(631) 680-5056</t>
  </si>
  <si>
    <t>fastkpd@msn.com</t>
  </si>
  <si>
    <t>(253) 720-6078</t>
  </si>
  <si>
    <t>steverapps@hotmail.com</t>
  </si>
  <si>
    <t>(352) 414-8016</t>
  </si>
  <si>
    <t>jymareed@att.net</t>
  </si>
  <si>
    <t>(248) 921-9297</t>
  </si>
  <si>
    <t>jmr22riley@gmail.co</t>
  </si>
  <si>
    <t>(540) 323-0154</t>
  </si>
  <si>
    <t>1B, 2B, C</t>
  </si>
  <si>
    <t>1B, 2B, OF, C</t>
  </si>
  <si>
    <t>Harlyrdr11@aol.com</t>
  </si>
  <si>
    <t>(309) 224-0369</t>
  </si>
  <si>
    <t>2B, MI, SS, OF, P, C</t>
  </si>
  <si>
    <t>ric1839@gmail.com</t>
  </si>
  <si>
    <t>(978) 846-4602</t>
  </si>
  <si>
    <t>dlroth57@gmail.com</t>
  </si>
  <si>
    <t>(605) 988-4104</t>
  </si>
  <si>
    <t>walker.royce@gmail.com</t>
  </si>
  <si>
    <t>(978) 460-1087</t>
  </si>
  <si>
    <t>rsgd4200@gmail.com</t>
  </si>
  <si>
    <t>(256) 374-4974</t>
  </si>
  <si>
    <t>wrsbrsgc@aol.com</t>
  </si>
  <si>
    <t>(516) 445-7382</t>
  </si>
  <si>
    <t>sadsy99@gmail.com</t>
  </si>
  <si>
    <t>(519) 374-5737</t>
  </si>
  <si>
    <t>dave_aileen@hotmail.com</t>
  </si>
  <si>
    <t>(719) 433-4490</t>
  </si>
  <si>
    <t>tps_saracino@yahoo.com</t>
  </si>
  <si>
    <t>(216) 695-8312</t>
  </si>
  <si>
    <t>Bernman33@hotmail.com</t>
  </si>
  <si>
    <t>(262) 707-2577</t>
  </si>
  <si>
    <t>lbt295@comcast.net</t>
  </si>
  <si>
    <t>(609) 709-8390</t>
  </si>
  <si>
    <t>chrissch2@comcast.net</t>
  </si>
  <si>
    <t>(813) 789-4166</t>
  </si>
  <si>
    <t>1B, 2B, MI, 3B, P</t>
  </si>
  <si>
    <t>davesellars45@gmail.com</t>
  </si>
  <si>
    <t>(816) 365-3478</t>
  </si>
  <si>
    <t>danshelley7@gmail.com</t>
  </si>
  <si>
    <t>(352) 431-5517</t>
  </si>
  <si>
    <t>3B, C</t>
  </si>
  <si>
    <t>scott.shurman@gmail.com</t>
  </si>
  <si>
    <t>(407) 625-9061</t>
  </si>
  <si>
    <t>psip44@gmail.com</t>
  </si>
  <si>
    <t>(517) 490-5327</t>
  </si>
  <si>
    <t>dsmithpeke@aol.com</t>
  </si>
  <si>
    <t>(352) 350-7692</t>
  </si>
  <si>
    <t>oc84pa@yahoo.com</t>
  </si>
  <si>
    <t>(707) 497-8284</t>
  </si>
  <si>
    <t>MI, P</t>
  </si>
  <si>
    <t>soederpop1971@yahoo.com</t>
  </si>
  <si>
    <t>(813) 981-4549</t>
  </si>
  <si>
    <t>MI, SS, P</t>
  </si>
  <si>
    <t>SPINMAN5@COMCAST.NET</t>
  </si>
  <si>
    <t>(267) 252-4025</t>
  </si>
  <si>
    <t>Pickleballer1@gmail.com</t>
  </si>
  <si>
    <t>(352) 272-7840</t>
  </si>
  <si>
    <t>popstauff@yahoo.com</t>
  </si>
  <si>
    <t>(302) 545-3114</t>
  </si>
  <si>
    <t>ricksunderman22@gmail.com</t>
  </si>
  <si>
    <t>(513) 310-9144</t>
  </si>
  <si>
    <t>dsteasley@gmail.com</t>
  </si>
  <si>
    <t>(303) 765-4979</t>
  </si>
  <si>
    <t>timtom441701@gmail.com</t>
  </si>
  <si>
    <t>(724) 350-7287</t>
  </si>
  <si>
    <t>turneyk13@gmail.com</t>
  </si>
  <si>
    <t>(813) 545-3943</t>
  </si>
  <si>
    <t>MI, 3B</t>
  </si>
  <si>
    <t>bktwohig@gmail.com</t>
  </si>
  <si>
    <t>(603) 530-4643</t>
  </si>
  <si>
    <t>jealousmonks@yahoo.com</t>
  </si>
  <si>
    <t>(610) 533-0983</t>
  </si>
  <si>
    <t>emvan25@gmail.com</t>
  </si>
  <si>
    <t>(863) 604-1417</t>
  </si>
  <si>
    <t>skywalks1963@gmail.com</t>
  </si>
  <si>
    <t>(641) 373-3582</t>
  </si>
  <si>
    <t>scout322@outlook.com</t>
  </si>
  <si>
    <t>(352) 446-0777</t>
  </si>
  <si>
    <t>webb862@gmail.com</t>
  </si>
  <si>
    <t>(559) 760-5636</t>
  </si>
  <si>
    <t>izsmize@comcast.net</t>
  </si>
  <si>
    <t>(574) 309-3533</t>
  </si>
  <si>
    <t>Buckeyebrad819@gmail.com</t>
  </si>
  <si>
    <t>(470) 422-0795</t>
  </si>
  <si>
    <t>michael.james.wiener@gmail.com</t>
  </si>
  <si>
    <t>(613) 825-8496</t>
  </si>
  <si>
    <t>williamsdreamstay@gmail.com</t>
  </si>
  <si>
    <t>(717) 310-3500</t>
  </si>
  <si>
    <t>e3foreverdale3@gmail.com</t>
  </si>
  <si>
    <t>(303) 839-2260</t>
  </si>
  <si>
    <t>1B, 2B, MI, SS, 3B, OF</t>
  </si>
  <si>
    <t>petezrinski@yahoo.com</t>
  </si>
  <si>
    <t>(732) 221-9636</t>
  </si>
  <si>
    <t>Lightning Strikes</t>
  </si>
  <si>
    <t>Big Dawgs</t>
  </si>
  <si>
    <t xml:space="preserve">Gunslingers  </t>
  </si>
  <si>
    <t xml:space="preserve">Rebels  </t>
  </si>
  <si>
    <t xml:space="preserve">Tigers   </t>
  </si>
  <si>
    <t>Team USA</t>
  </si>
  <si>
    <t>DEATHSTARS .</t>
  </si>
  <si>
    <t xml:space="preserve">  Norsemen</t>
  </si>
  <si>
    <t xml:space="preserve">  Buckeyes</t>
  </si>
  <si>
    <t>Bad News Bears</t>
  </si>
  <si>
    <t xml:space="preserve">  Xtreme</t>
  </si>
  <si>
    <t xml:space="preserve">Shorebirds  </t>
  </si>
  <si>
    <t xml:space="preserve">  Wolverines</t>
  </si>
  <si>
    <t xml:space="preserve">Bearcats  </t>
  </si>
  <si>
    <t>Peter Zrinski</t>
  </si>
  <si>
    <t>Brian Brown</t>
  </si>
  <si>
    <t>Craig Horton</t>
  </si>
  <si>
    <t>Tim Walker</t>
  </si>
  <si>
    <t>Dave Sanders</t>
  </si>
  <si>
    <t>Scott Jackson</t>
  </si>
  <si>
    <t>Mike Cudworth</t>
  </si>
  <si>
    <t>Eric Janosov</t>
  </si>
  <si>
    <t>Michael Johnson</t>
  </si>
  <si>
    <t>Jim Keller</t>
  </si>
  <si>
    <t>Dave Glover</t>
  </si>
  <si>
    <t>Jason Johnson</t>
  </si>
  <si>
    <t>Scott Atkin</t>
  </si>
  <si>
    <t>Steve Freeman</t>
  </si>
  <si>
    <t>Dean LaFlamme</t>
  </si>
  <si>
    <t>Patrick Sipkovsky</t>
  </si>
  <si>
    <t>Bill Devine</t>
  </si>
  <si>
    <t>Glen Noll</t>
  </si>
  <si>
    <t>Ron Stauffer</t>
  </si>
  <si>
    <t>Kirby Herschberger</t>
  </si>
  <si>
    <t>Kevin Hayes</t>
  </si>
  <si>
    <t>Jim Okunze</t>
  </si>
  <si>
    <t>Rick Sunderman</t>
  </si>
  <si>
    <t>Ray Pour</t>
  </si>
  <si>
    <t>Mark Golden</t>
  </si>
  <si>
    <t>Cesar Gelle</t>
  </si>
  <si>
    <t>Pete Meeker</t>
  </si>
  <si>
    <t>Robert Myers</t>
  </si>
  <si>
    <t>Paul Davis</t>
  </si>
  <si>
    <t>Darrell Phillips</t>
  </si>
  <si>
    <t>Anthony Saracino</t>
  </si>
  <si>
    <t>Paul Christensen</t>
  </si>
  <si>
    <t>Jeff Nash</t>
  </si>
  <si>
    <t>Donny Meyer</t>
  </si>
  <si>
    <t>Rich Lapat</t>
  </si>
  <si>
    <t>Jose Almaguer</t>
  </si>
  <si>
    <t>Terry Jozefiak</t>
  </si>
  <si>
    <t>Mike Hanna</t>
  </si>
  <si>
    <t>Tim Fugate</t>
  </si>
  <si>
    <t>Gary Winters</t>
  </si>
  <si>
    <t>David Teasley</t>
  </si>
  <si>
    <t>Tim Miller</t>
  </si>
  <si>
    <t>Fred Leibowitz</t>
  </si>
  <si>
    <t>Gary Bond</t>
  </si>
  <si>
    <t>Joey Doyle</t>
  </si>
  <si>
    <t>Chuck Greene</t>
  </si>
  <si>
    <t>Jan Held</t>
  </si>
  <si>
    <t>Jason Koblas</t>
  </si>
  <si>
    <t>Ron Webb</t>
  </si>
  <si>
    <t>Robert Mossing</t>
  </si>
  <si>
    <t>Gary Allen</t>
  </si>
  <si>
    <t>Brian Staub</t>
  </si>
  <si>
    <t>Matt Socha</t>
  </si>
  <si>
    <t>Shawn Mulholland</t>
  </si>
  <si>
    <t>Keith Egofske</t>
  </si>
  <si>
    <t>Christopher Altemus</t>
  </si>
  <si>
    <t>Michael Albertsen</t>
  </si>
  <si>
    <t>Steve Propert</t>
  </si>
  <si>
    <t>Jason Miller</t>
  </si>
  <si>
    <t>Wade Maribito</t>
  </si>
  <si>
    <t>Tim Costello</t>
  </si>
  <si>
    <t>Chuck Schnell</t>
  </si>
  <si>
    <t>James Davis</t>
  </si>
  <si>
    <t>Ray Jones</t>
  </si>
  <si>
    <t>Dan Osredkar</t>
  </si>
  <si>
    <t>Mark Kelly</t>
  </si>
  <si>
    <t>Jim Faggiana</t>
  </si>
  <si>
    <t>Scott Rankin</t>
  </si>
  <si>
    <t>Michael Wiener</t>
  </si>
  <si>
    <t>Eric Merz</t>
  </si>
  <si>
    <t>Ryan Hilmer</t>
  </si>
  <si>
    <t>Steve Spinosa</t>
  </si>
  <si>
    <t>Randy Murgittroyd</t>
  </si>
  <si>
    <t>Rick Rivard</t>
  </si>
  <si>
    <t>Brian Valley</t>
  </si>
  <si>
    <t>Jeffrey Lyons</t>
  </si>
  <si>
    <t>Jeff Gunn</t>
  </si>
  <si>
    <t>David Fortier</t>
  </si>
  <si>
    <t>Trey Cruser</t>
  </si>
  <si>
    <t>Dave McDermott</t>
  </si>
  <si>
    <t>Bert Owens</t>
  </si>
  <si>
    <t>David Mack</t>
  </si>
  <si>
    <t>Bill Abildgaard</t>
  </si>
  <si>
    <t>Calvin Driskill</t>
  </si>
  <si>
    <t>Wayne Maribito</t>
  </si>
  <si>
    <t>Dave Motta</t>
  </si>
  <si>
    <t>Jim Welch</t>
  </si>
  <si>
    <t>Gary Genova</t>
  </si>
  <si>
    <t>Brad West</t>
  </si>
  <si>
    <t>Doug Domeier</t>
  </si>
  <si>
    <t>Gavin Mason</t>
  </si>
  <si>
    <t>Keith Turney</t>
  </si>
  <si>
    <t>Ron Kenyon</t>
  </si>
  <si>
    <t>Joe Phipps</t>
  </si>
  <si>
    <t>Jack Burke</t>
  </si>
  <si>
    <t>Mark Brimer</t>
  </si>
  <si>
    <t>David Moyer</t>
  </si>
  <si>
    <t>Ernie Vandersteen</t>
  </si>
  <si>
    <t>Scott Shurman</t>
  </si>
  <si>
    <t>Steve Keane</t>
  </si>
  <si>
    <t>Hank Culley</t>
  </si>
  <si>
    <t>Jack Reed</t>
  </si>
  <si>
    <t>Greg Williams</t>
  </si>
  <si>
    <t>Don Geisler</t>
  </si>
  <si>
    <t>Bob Fingerhut</t>
  </si>
  <si>
    <t>Frank Randazzo</t>
  </si>
  <si>
    <t>Gary Nutley</t>
  </si>
  <si>
    <t>Sean O'Sullivan</t>
  </si>
  <si>
    <t>Tim Thomas</t>
  </si>
  <si>
    <t>Bob Riley</t>
  </si>
  <si>
    <t>Mike Arenella</t>
  </si>
  <si>
    <t>Jim Quirk</t>
  </si>
  <si>
    <t>Mike Riley</t>
  </si>
  <si>
    <t>Pete Glowacki</t>
  </si>
  <si>
    <t>Bruce Breiner</t>
  </si>
  <si>
    <t>Steven Hagen</t>
  </si>
  <si>
    <t>Tom Hauser</t>
  </si>
  <si>
    <t>Walker Royce</t>
  </si>
  <si>
    <t>Paul Pfundstein</t>
  </si>
  <si>
    <t>Bob Mitchell</t>
  </si>
  <si>
    <t>Kurtis Lamb</t>
  </si>
  <si>
    <t>Craig Buchanan</t>
  </si>
  <si>
    <t>Bill Bohn</t>
  </si>
  <si>
    <t>Darwin Roth</t>
  </si>
  <si>
    <t>Brian Twohig</t>
  </si>
  <si>
    <t>Dan Shelley</t>
  </si>
  <si>
    <t>Bill Cecil</t>
  </si>
  <si>
    <t>Frank Diliddo</t>
  </si>
  <si>
    <t>Robert Rutherford</t>
  </si>
  <si>
    <t>Jeff Link</t>
  </si>
  <si>
    <t>Dave Sellars</t>
  </si>
  <si>
    <t>Tom Bergman</t>
  </si>
  <si>
    <t>John Christo</t>
  </si>
  <si>
    <t>Paul Maxwell</t>
  </si>
  <si>
    <t>Samuel Harrison</t>
  </si>
  <si>
    <t>Mike Ford</t>
  </si>
  <si>
    <t>Linwood Manning</t>
  </si>
  <si>
    <t>Mike Otman</t>
  </si>
  <si>
    <t>Joe Cataldi</t>
  </si>
  <si>
    <t>Chris Kleisinger</t>
  </si>
  <si>
    <t>Bernie Schmidt</t>
  </si>
  <si>
    <t>Chris Margevicius</t>
  </si>
  <si>
    <t>Team</t>
  </si>
  <si>
    <t>Jeff Boyden</t>
  </si>
  <si>
    <t>Patrick Baxter</t>
  </si>
  <si>
    <t>Bill Warble</t>
  </si>
  <si>
    <t>Troy Soeder</t>
  </si>
  <si>
    <t>Doug Goslee</t>
  </si>
  <si>
    <t>Michael Hage</t>
  </si>
  <si>
    <t>Tom Pratt</t>
  </si>
  <si>
    <t>Ron Bormann</t>
  </si>
  <si>
    <t>Rick Sadler</t>
  </si>
  <si>
    <t>Jamie Hall</t>
  </si>
  <si>
    <t>Steve Rapps</t>
  </si>
  <si>
    <t>Chris Schubert</t>
  </si>
  <si>
    <t>Div</t>
  </si>
  <si>
    <t>XL</t>
  </si>
  <si>
    <t>XXL</t>
  </si>
  <si>
    <t>L</t>
  </si>
  <si>
    <t>Wolverines</t>
  </si>
  <si>
    <t>Norsemen</t>
  </si>
  <si>
    <t>Xtreme</t>
  </si>
  <si>
    <t>Buckeyes</t>
  </si>
  <si>
    <t>Rebels</t>
  </si>
  <si>
    <t>Gunslingers</t>
  </si>
  <si>
    <t>Tigers</t>
  </si>
  <si>
    <t>Shorebirds</t>
  </si>
  <si>
    <t>Bearcats</t>
  </si>
  <si>
    <t>DEATHSTARS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</si>
</sst>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.000"/>
    <numFmt numFmtId="165" formatCode="0.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2" borderId="0" xfId="0" applyFill="1"/>
    <xf numFmtId="164" fontId="0" fillId="2" borderId="0" xfId="0" applyNumberFormat="1" applyFill="1"/>
    <xf numFmtId="0" fontId="0" fillId="3" borderId="0" xfId="0" applyFill="1"/>
    <xf numFmtId="164" fontId="0" fillId="3" borderId="0" xfId="0" applyNumberFormat="1" applyFill="1"/>
    <xf numFmtId="0" fontId="1" fillId="4" borderId="1" xfId="0" applyFont="1" applyFill="1" applyBorder="1" applyAlignment="1">
      <alignment horizontal="center" vertical="top"/>
    </xf>
    <xf numFmtId="0" fontId="0" fillId="0" borderId="0" xfId="0" applyAlignment="1">
      <alignment wrapText="1"/>
    </xf>
    <xf numFmtId="0" fontId="2" fillId="0" borderId="0" xfId="0" applyFont="1"/>
    <xf numFmtId="0" fontId="0" fillId="0" borderId="0" xfId="0" applyAlignment="1">
      <alignment horizontal="left"/>
    </xf>
    <xf numFmtId="0" fontId="0" fillId="5" borderId="0" xfId="0" applyFill="1"/>
    <xf numFmtId="0" fontId="0" fillId="5" borderId="0" xfId="0" applyFill="1" applyAlignment="1">
      <alignment wrapText="1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Structure" Target="richData/rdrichvaluestructure.xml"/><Relationship Id="rId5" Type="http://schemas.openxmlformats.org/officeDocument/2006/relationships/worksheet" Target="worksheets/sheet5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8</v>
    <v>0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65"/>
  <sheetViews>
    <sheetView workbookViewId="0">
      <pane ySplit="1" topLeftCell="A11" activePane="bottomLeft" state="frozen"/>
      <selection pane="bottomLeft" activeCell="H27" sqref="H27"/>
    </sheetView>
  </sheetViews>
  <sheetFormatPr defaultRowHeight="15" x14ac:dyDescent="0.25"/>
  <cols>
    <col min="1" max="1" width="4.42578125" customWidth="1"/>
    <col min="2" max="2" width="5.85546875" bestFit="1" customWidth="1"/>
    <col min="5" max="7" width="4.7109375" customWidth="1"/>
    <col min="8" max="8" width="3.28515625" customWidth="1"/>
    <col min="9" max="9" width="4.85546875" customWidth="1"/>
    <col min="10" max="10" width="5.140625" customWidth="1"/>
  </cols>
  <sheetData>
    <row r="1" spans="1:33" x14ac:dyDescent="0.25">
      <c r="A1" s="1" t="s">
        <v>0</v>
      </c>
      <c r="B1" s="1" t="s">
        <v>946</v>
      </c>
      <c r="C1" s="1" t="s">
        <v>1</v>
      </c>
      <c r="D1" s="1" t="s">
        <v>2</v>
      </c>
      <c r="E1" s="1" t="s">
        <v>3</v>
      </c>
      <c r="F1" s="1"/>
      <c r="G1" s="1"/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1" t="s">
        <v>16</v>
      </c>
      <c r="U1" s="1" t="s">
        <v>17</v>
      </c>
      <c r="V1" s="1" t="s">
        <v>18</v>
      </c>
      <c r="W1" s="1" t="s">
        <v>19</v>
      </c>
      <c r="X1" s="1" t="s">
        <v>20</v>
      </c>
      <c r="Y1" s="1" t="s">
        <v>21</v>
      </c>
      <c r="Z1" s="1" t="s">
        <v>22</v>
      </c>
      <c r="AA1" s="1" t="s">
        <v>23</v>
      </c>
      <c r="AB1" s="1" t="s">
        <v>24</v>
      </c>
      <c r="AC1" s="7" t="s">
        <v>25</v>
      </c>
      <c r="AD1" s="1" t="s">
        <v>26</v>
      </c>
      <c r="AE1" s="1"/>
      <c r="AF1" s="1" t="s">
        <v>27</v>
      </c>
      <c r="AG1" s="1" t="s">
        <v>28</v>
      </c>
    </row>
    <row r="2" spans="1:33" s="3" customFormat="1" x14ac:dyDescent="0.25">
      <c r="A2" s="3">
        <v>478</v>
      </c>
      <c r="B2" s="3" t="str" cm="1">
        <f t="array" ref="B2">INDEX(Teams!$A$1:$N$1,1,SUMPRODUCT((Teams!$A$2:$N$13=C2&amp;" "&amp;D2)*COLUMN(A:N)))</f>
        <v>Big Dawgs</v>
      </c>
      <c r="C2" s="3" t="s">
        <v>29</v>
      </c>
      <c r="D2" s="3" t="s">
        <v>30</v>
      </c>
      <c r="E2" s="3" t="s">
        <v>31</v>
      </c>
      <c r="F2" s="3" t="s">
        <v>459</v>
      </c>
      <c r="G2" s="3" t="s">
        <v>459</v>
      </c>
      <c r="H2" s="3">
        <v>61</v>
      </c>
      <c r="I2" s="3">
        <v>86</v>
      </c>
      <c r="J2" s="3">
        <v>26</v>
      </c>
      <c r="K2" s="3">
        <v>161</v>
      </c>
      <c r="L2" s="3">
        <v>189</v>
      </c>
      <c r="M2" s="3">
        <v>85.2</v>
      </c>
      <c r="N2" s="4">
        <v>0.47499999999999998</v>
      </c>
      <c r="O2" s="3">
        <v>76</v>
      </c>
      <c r="P2" s="3">
        <v>84</v>
      </c>
      <c r="Q2" s="4">
        <v>0.40600000000000003</v>
      </c>
      <c r="R2" s="4">
        <v>0.45200000000000001</v>
      </c>
      <c r="S2" s="4">
        <v>0.442</v>
      </c>
      <c r="T2" s="3">
        <v>159</v>
      </c>
      <c r="U2" s="3">
        <v>180</v>
      </c>
      <c r="V2" s="3">
        <v>171</v>
      </c>
      <c r="W2" s="3">
        <v>167.6</v>
      </c>
      <c r="X2" s="3" t="s">
        <v>32</v>
      </c>
      <c r="Y2" s="3" t="s">
        <v>33</v>
      </c>
      <c r="Z2" s="3">
        <v>100</v>
      </c>
      <c r="AA2" s="3">
        <v>3.5</v>
      </c>
      <c r="AB2" s="3">
        <v>3</v>
      </c>
      <c r="AC2" s="3">
        <v>0</v>
      </c>
      <c r="AD2" s="3">
        <v>1</v>
      </c>
      <c r="AE2" s="3">
        <f t="shared" ref="AE2:AE33" si="0">AF2+AC2</f>
        <v>175.1</v>
      </c>
      <c r="AF2" s="3">
        <v>175.1</v>
      </c>
      <c r="AG2" s="3" t="s">
        <v>34</v>
      </c>
    </row>
    <row r="3" spans="1:33" s="3" customFormat="1" x14ac:dyDescent="0.25">
      <c r="A3" s="3">
        <v>393</v>
      </c>
      <c r="B3" s="3" t="str" cm="1">
        <f t="array" ref="B3">INDEX(Teams!$A$1:$N$1,1,SUMPRODUCT((Teams!$A$2:$N$13=C3&amp;" "&amp;D3)*COLUMN(A:N)))</f>
        <v>DEATHSTARS .</v>
      </c>
      <c r="C3" s="3" t="s">
        <v>35</v>
      </c>
      <c r="D3" s="3" t="s">
        <v>36</v>
      </c>
      <c r="E3" s="3" t="s">
        <v>37</v>
      </c>
      <c r="F3" s="3" t="s">
        <v>420</v>
      </c>
      <c r="G3" s="3" t="s">
        <v>420</v>
      </c>
      <c r="H3" s="3">
        <v>58</v>
      </c>
      <c r="I3" s="3">
        <v>86</v>
      </c>
      <c r="J3" s="3">
        <v>17</v>
      </c>
      <c r="K3" s="3">
        <v>204</v>
      </c>
      <c r="L3" s="3">
        <v>246</v>
      </c>
      <c r="M3" s="3">
        <v>82.9</v>
      </c>
      <c r="N3" s="4">
        <v>0.52900000000000003</v>
      </c>
      <c r="O3" s="3">
        <v>108</v>
      </c>
      <c r="P3" s="3">
        <v>96</v>
      </c>
      <c r="Q3" s="4">
        <v>0.4</v>
      </c>
      <c r="T3" s="3">
        <v>156</v>
      </c>
      <c r="W3" s="3">
        <v>159.6</v>
      </c>
      <c r="X3" s="3" t="s">
        <v>38</v>
      </c>
      <c r="Y3" s="3" t="s">
        <v>33</v>
      </c>
      <c r="Z3" s="3">
        <v>100</v>
      </c>
      <c r="AA3" s="3">
        <v>4</v>
      </c>
      <c r="AB3" s="3">
        <v>5</v>
      </c>
      <c r="AC3" s="3">
        <v>0</v>
      </c>
      <c r="AD3" s="3">
        <v>1</v>
      </c>
      <c r="AE3" s="3">
        <f t="shared" si="0"/>
        <v>169.6</v>
      </c>
      <c r="AF3" s="3">
        <v>169.6</v>
      </c>
      <c r="AG3" s="3" t="s">
        <v>39</v>
      </c>
    </row>
    <row r="4" spans="1:33" x14ac:dyDescent="0.25">
      <c r="A4" s="3">
        <v>586</v>
      </c>
      <c r="B4" s="3" t="str" cm="1">
        <f t="array" ref="B4">INDEX(Teams!$A$1:$N$1,1,SUMPRODUCT((Teams!$A$2:$N$13=C4&amp;" "&amp;D4)*COLUMN(A:N)))</f>
        <v xml:space="preserve">Rebels  </v>
      </c>
      <c r="C4" s="3" t="s">
        <v>45</v>
      </c>
      <c r="D4" s="3" t="s">
        <v>46</v>
      </c>
      <c r="E4" s="3" t="s">
        <v>47</v>
      </c>
      <c r="F4" s="3" t="s">
        <v>31</v>
      </c>
      <c r="G4" s="3" t="s">
        <v>420</v>
      </c>
      <c r="H4" s="3">
        <v>62</v>
      </c>
      <c r="I4" s="3">
        <v>79</v>
      </c>
      <c r="J4" s="3">
        <v>20</v>
      </c>
      <c r="K4" s="3">
        <v>36</v>
      </c>
      <c r="L4" s="3">
        <v>44</v>
      </c>
      <c r="M4" s="3">
        <v>81.8</v>
      </c>
      <c r="N4" s="4">
        <v>0.75</v>
      </c>
      <c r="O4" s="3">
        <v>27</v>
      </c>
      <c r="P4" s="3">
        <v>9</v>
      </c>
      <c r="Q4" s="4">
        <v>0.39300000000000002</v>
      </c>
      <c r="R4" s="3"/>
      <c r="S4" s="4">
        <v>0.36899999999999999</v>
      </c>
      <c r="T4" s="3">
        <v>154</v>
      </c>
      <c r="U4" s="3"/>
      <c r="V4" s="3">
        <v>143</v>
      </c>
      <c r="W4" s="3">
        <v>149.6</v>
      </c>
      <c r="X4" s="3" t="s">
        <v>48</v>
      </c>
      <c r="Y4" s="3" t="s">
        <v>49</v>
      </c>
      <c r="Z4" s="3">
        <v>85.9</v>
      </c>
      <c r="AA4" s="3">
        <v>2.5</v>
      </c>
      <c r="AB4" s="3">
        <v>3</v>
      </c>
      <c r="AC4" s="3">
        <v>0</v>
      </c>
      <c r="AD4" s="3">
        <v>1</v>
      </c>
      <c r="AE4" s="3">
        <f t="shared" si="0"/>
        <v>156.1</v>
      </c>
      <c r="AF4" s="3">
        <v>156.1</v>
      </c>
      <c r="AG4" s="3" t="s">
        <v>50</v>
      </c>
    </row>
    <row r="5" spans="1:33" s="3" customFormat="1" x14ac:dyDescent="0.25">
      <c r="A5" s="3">
        <v>396</v>
      </c>
      <c r="B5" s="3" t="str" cm="1">
        <f t="array" ref="B5">INDEX(Teams!$A$1:$N$1,1,SUMPRODUCT((Teams!$A$2:$N$13=C5&amp;" "&amp;D5)*COLUMN(A:N)))</f>
        <v>Team USA</v>
      </c>
      <c r="C5" s="3" t="s">
        <v>51</v>
      </c>
      <c r="D5" s="3" t="s">
        <v>52</v>
      </c>
      <c r="E5" s="3" t="s">
        <v>37</v>
      </c>
      <c r="F5" s="3" t="s">
        <v>574</v>
      </c>
      <c r="G5" s="3" t="s">
        <v>438</v>
      </c>
      <c r="H5" s="3">
        <v>55</v>
      </c>
      <c r="I5" s="3">
        <v>79</v>
      </c>
      <c r="J5" s="3">
        <v>11</v>
      </c>
      <c r="K5" s="3">
        <v>276</v>
      </c>
      <c r="L5" s="3">
        <v>311</v>
      </c>
      <c r="M5" s="3">
        <v>88.7</v>
      </c>
      <c r="N5" s="4">
        <v>0.51800000000000002</v>
      </c>
      <c r="O5" s="3">
        <v>143</v>
      </c>
      <c r="P5" s="3">
        <v>133</v>
      </c>
      <c r="Q5" s="4">
        <v>0.35699999999999998</v>
      </c>
      <c r="R5" s="4">
        <v>0.40400000000000003</v>
      </c>
      <c r="S5" s="4">
        <v>0.314</v>
      </c>
      <c r="T5" s="3">
        <v>140</v>
      </c>
      <c r="U5" s="3">
        <v>161</v>
      </c>
      <c r="V5" s="3">
        <v>121</v>
      </c>
      <c r="W5" s="3">
        <v>142.30000000000001</v>
      </c>
      <c r="X5" s="3" t="s">
        <v>32</v>
      </c>
      <c r="Y5" s="3" t="s">
        <v>33</v>
      </c>
      <c r="Z5" s="3">
        <v>97.5</v>
      </c>
      <c r="AA5" s="3">
        <v>4</v>
      </c>
      <c r="AB5" s="3">
        <v>5</v>
      </c>
      <c r="AC5" s="3">
        <v>0</v>
      </c>
      <c r="AD5" s="3">
        <v>1</v>
      </c>
      <c r="AE5" s="3">
        <f t="shared" si="0"/>
        <v>152.30000000000001</v>
      </c>
      <c r="AF5" s="3">
        <v>152.30000000000001</v>
      </c>
      <c r="AG5" s="3" t="s">
        <v>53</v>
      </c>
    </row>
    <row r="6" spans="1:33" s="3" customFormat="1" x14ac:dyDescent="0.25">
      <c r="A6" s="3">
        <v>475</v>
      </c>
      <c r="B6" s="3" t="str" cm="1">
        <f t="array" ref="B6">INDEX(Teams!$A$1:$N$1,1,SUMPRODUCT((Teams!$A$2:$N$13=C6&amp;" "&amp;D6)*COLUMN(A:N)))</f>
        <v xml:space="preserve">  Xtreme</v>
      </c>
      <c r="C6" s="3" t="s">
        <v>54</v>
      </c>
      <c r="D6" s="3" t="s">
        <v>55</v>
      </c>
      <c r="E6" s="3" t="s">
        <v>31</v>
      </c>
      <c r="F6" s="3" t="s">
        <v>459</v>
      </c>
      <c r="G6" s="3" t="s">
        <v>420</v>
      </c>
      <c r="H6" s="3">
        <v>58</v>
      </c>
      <c r="I6" s="3">
        <v>72</v>
      </c>
      <c r="J6" s="3">
        <v>15</v>
      </c>
      <c r="K6" s="3">
        <v>129</v>
      </c>
      <c r="L6" s="3">
        <v>145</v>
      </c>
      <c r="M6" s="3">
        <v>89</v>
      </c>
      <c r="N6" s="4">
        <v>0.38800000000000001</v>
      </c>
      <c r="O6" s="3">
        <v>50</v>
      </c>
      <c r="P6" s="3">
        <v>79</v>
      </c>
      <c r="Q6" s="4">
        <v>0.36199999999999999</v>
      </c>
      <c r="S6" s="4">
        <v>0.38700000000000001</v>
      </c>
      <c r="T6" s="3">
        <v>142</v>
      </c>
      <c r="V6" s="3">
        <v>150</v>
      </c>
      <c r="W6" s="3">
        <v>142.69999999999999</v>
      </c>
      <c r="X6" s="3" t="s">
        <v>56</v>
      </c>
      <c r="Y6" s="3" t="s">
        <v>33</v>
      </c>
      <c r="Z6" s="3">
        <v>100</v>
      </c>
      <c r="AA6" s="3">
        <v>3.5</v>
      </c>
      <c r="AB6" s="3">
        <v>5</v>
      </c>
      <c r="AC6" s="3">
        <v>0</v>
      </c>
      <c r="AD6" s="3">
        <v>1</v>
      </c>
      <c r="AE6" s="3">
        <f t="shared" si="0"/>
        <v>152.19999999999999</v>
      </c>
      <c r="AF6" s="3">
        <v>152.19999999999999</v>
      </c>
      <c r="AG6" s="3" t="s">
        <v>57</v>
      </c>
    </row>
    <row r="7" spans="1:33" x14ac:dyDescent="0.25">
      <c r="A7" s="3">
        <v>477</v>
      </c>
      <c r="B7" s="3" t="str" cm="1">
        <f t="array" ref="B7">INDEX(Teams!$A$1:$N$1,1,SUMPRODUCT((Teams!$A$2:$N$13=C7&amp;" "&amp;D7)*COLUMN(A:N)))</f>
        <v xml:space="preserve">Gunslingers  </v>
      </c>
      <c r="C7" s="3" t="s">
        <v>58</v>
      </c>
      <c r="D7" s="3" t="s">
        <v>59</v>
      </c>
      <c r="E7" s="3" t="s">
        <v>31</v>
      </c>
      <c r="F7" s="3" t="s">
        <v>31</v>
      </c>
      <c r="G7" s="3" t="s">
        <v>42</v>
      </c>
      <c r="H7" s="3">
        <v>57</v>
      </c>
      <c r="I7" s="3">
        <v>83</v>
      </c>
      <c r="J7" s="3">
        <v>16</v>
      </c>
      <c r="K7" s="3">
        <v>149</v>
      </c>
      <c r="L7" s="3">
        <v>184</v>
      </c>
      <c r="M7" s="3">
        <v>81</v>
      </c>
      <c r="N7" s="4">
        <v>0.56399999999999995</v>
      </c>
      <c r="O7" s="3">
        <v>84</v>
      </c>
      <c r="P7" s="3">
        <v>65</v>
      </c>
      <c r="Q7" s="4">
        <v>0.39</v>
      </c>
      <c r="R7" s="3"/>
      <c r="S7" s="4">
        <v>0.29799999999999999</v>
      </c>
      <c r="T7" s="3">
        <v>152</v>
      </c>
      <c r="U7" s="3"/>
      <c r="V7" s="3">
        <v>115</v>
      </c>
      <c r="W7" s="3">
        <v>142</v>
      </c>
      <c r="X7" s="3" t="s">
        <v>56</v>
      </c>
      <c r="Y7" s="3" t="s">
        <v>33</v>
      </c>
      <c r="Z7" s="3">
        <v>97.5</v>
      </c>
      <c r="AA7" s="3">
        <v>3.5</v>
      </c>
      <c r="AB7" s="3">
        <v>5</v>
      </c>
      <c r="AC7" s="3">
        <v>0</v>
      </c>
      <c r="AD7" s="3">
        <v>1</v>
      </c>
      <c r="AE7" s="3">
        <f t="shared" si="0"/>
        <v>151.5</v>
      </c>
      <c r="AF7" s="3">
        <v>151.5</v>
      </c>
      <c r="AG7" s="3" t="s">
        <v>60</v>
      </c>
    </row>
    <row r="8" spans="1:33" s="3" customFormat="1" x14ac:dyDescent="0.25">
      <c r="A8" s="3">
        <v>474</v>
      </c>
      <c r="B8" s="3" t="str" cm="1">
        <f t="array" ref="B8">INDEX(Teams!$A$1:$N$1,1,SUMPRODUCT((Teams!$A$2:$N$13=C8&amp;" "&amp;D8)*COLUMN(A:N)))</f>
        <v xml:space="preserve">Tigers   </v>
      </c>
      <c r="C8" s="3" t="s">
        <v>54</v>
      </c>
      <c r="D8" s="3" t="s">
        <v>61</v>
      </c>
      <c r="E8" s="3" t="s">
        <v>31</v>
      </c>
      <c r="F8" s="3" t="s">
        <v>31</v>
      </c>
      <c r="G8" s="3" t="s">
        <v>420</v>
      </c>
      <c r="H8" s="3">
        <v>57</v>
      </c>
      <c r="I8" s="3">
        <v>89</v>
      </c>
      <c r="J8" s="3">
        <v>18</v>
      </c>
      <c r="K8" s="3">
        <v>172</v>
      </c>
      <c r="L8" s="3">
        <v>205</v>
      </c>
      <c r="M8" s="3">
        <v>83.9</v>
      </c>
      <c r="N8" s="4">
        <v>0.54700000000000004</v>
      </c>
      <c r="O8" s="3">
        <v>94</v>
      </c>
      <c r="P8" s="3">
        <v>78</v>
      </c>
      <c r="Q8" s="4">
        <v>0.36199999999999999</v>
      </c>
      <c r="R8" s="4">
        <v>0.34499999999999997</v>
      </c>
      <c r="S8" s="4">
        <v>0.38500000000000001</v>
      </c>
      <c r="T8" s="3">
        <v>142</v>
      </c>
      <c r="U8" s="3">
        <v>137</v>
      </c>
      <c r="V8" s="3">
        <v>149</v>
      </c>
      <c r="W8" s="3">
        <v>141.69999999999999</v>
      </c>
      <c r="X8" s="3" t="s">
        <v>32</v>
      </c>
      <c r="Y8" s="3" t="s">
        <v>33</v>
      </c>
      <c r="Z8" s="3">
        <v>100</v>
      </c>
      <c r="AA8" s="3">
        <v>3.5</v>
      </c>
      <c r="AB8" s="3">
        <v>5</v>
      </c>
      <c r="AC8" s="3">
        <v>0</v>
      </c>
      <c r="AD8" s="3">
        <v>1</v>
      </c>
      <c r="AE8" s="3">
        <f t="shared" si="0"/>
        <v>151.19999999999999</v>
      </c>
      <c r="AF8" s="3">
        <v>151.19999999999999</v>
      </c>
      <c r="AG8" s="3" t="s">
        <v>62</v>
      </c>
    </row>
    <row r="9" spans="1:33" s="3" customFormat="1" x14ac:dyDescent="0.25">
      <c r="A9" s="3">
        <v>492</v>
      </c>
      <c r="B9" s="3" t="str" cm="1">
        <f t="array" ref="B9">INDEX(Teams!$A$1:$N$1,1,SUMPRODUCT((Teams!$A$2:$N$13=C9&amp;" "&amp;D9)*COLUMN(A:N)))</f>
        <v xml:space="preserve">  Norsemen</v>
      </c>
      <c r="C9" s="3" t="s">
        <v>40</v>
      </c>
      <c r="D9" s="3" t="s">
        <v>41</v>
      </c>
      <c r="E9" s="3" t="s">
        <v>42</v>
      </c>
      <c r="F9" s="3" t="s">
        <v>92</v>
      </c>
      <c r="G9" s="3" t="s">
        <v>42</v>
      </c>
      <c r="H9" s="3">
        <v>68</v>
      </c>
      <c r="I9" s="3">
        <v>0</v>
      </c>
      <c r="J9" s="3">
        <v>0</v>
      </c>
      <c r="K9" s="3">
        <v>63</v>
      </c>
      <c r="L9" s="3">
        <v>66</v>
      </c>
      <c r="M9" s="3">
        <v>95.5</v>
      </c>
      <c r="N9" s="4">
        <v>0.61899999999999999</v>
      </c>
      <c r="O9" s="3">
        <v>39</v>
      </c>
      <c r="P9" s="3">
        <v>24</v>
      </c>
      <c r="Q9" s="4">
        <v>0</v>
      </c>
      <c r="S9" s="4">
        <v>0.40300000000000002</v>
      </c>
      <c r="T9" s="3">
        <v>0</v>
      </c>
      <c r="V9" s="3">
        <v>156</v>
      </c>
      <c r="W9" s="3">
        <v>153.30000000000001</v>
      </c>
      <c r="X9" s="3" t="s">
        <v>43</v>
      </c>
      <c r="Y9" s="3" t="s">
        <v>33</v>
      </c>
      <c r="Z9" s="3">
        <v>100</v>
      </c>
      <c r="AA9" s="3">
        <v>1</v>
      </c>
      <c r="AB9" s="3">
        <v>1</v>
      </c>
      <c r="AC9" s="3">
        <v>-10</v>
      </c>
      <c r="AD9" s="3">
        <v>2</v>
      </c>
      <c r="AE9" s="3">
        <f t="shared" si="0"/>
        <v>147.30000000000001</v>
      </c>
      <c r="AF9" s="3">
        <v>157.30000000000001</v>
      </c>
      <c r="AG9" s="3" t="s">
        <v>44</v>
      </c>
    </row>
    <row r="10" spans="1:33" s="3" customFormat="1" x14ac:dyDescent="0.25">
      <c r="A10" s="3">
        <v>454</v>
      </c>
      <c r="B10" s="3" t="str" cm="1">
        <f t="array" ref="B10">INDEX(Teams!$A$1:$N$1,1,SUMPRODUCT((Teams!$A$2:$N$13=C10&amp;" "&amp;D10)*COLUMN(A:N)))</f>
        <v xml:space="preserve">Tigers   </v>
      </c>
      <c r="C10" s="3" t="s">
        <v>63</v>
      </c>
      <c r="D10" s="3" t="s">
        <v>64</v>
      </c>
      <c r="E10" s="3" t="s">
        <v>31</v>
      </c>
      <c r="F10" s="3" t="s">
        <v>467</v>
      </c>
      <c r="G10" s="3" t="s">
        <v>568</v>
      </c>
      <c r="H10" s="3">
        <v>63</v>
      </c>
      <c r="I10" s="3">
        <v>58</v>
      </c>
      <c r="J10" s="3">
        <v>4</v>
      </c>
      <c r="K10" s="3">
        <v>148</v>
      </c>
      <c r="L10" s="3">
        <v>212</v>
      </c>
      <c r="M10" s="3">
        <v>69.8</v>
      </c>
      <c r="N10" s="4">
        <v>0.60099999999999998</v>
      </c>
      <c r="O10" s="3">
        <v>89</v>
      </c>
      <c r="P10" s="3">
        <v>59</v>
      </c>
      <c r="Q10" s="4">
        <v>0.34100000000000003</v>
      </c>
      <c r="R10" s="4">
        <v>0.33800000000000002</v>
      </c>
      <c r="S10" s="4">
        <v>0.51500000000000001</v>
      </c>
      <c r="T10" s="3">
        <v>133</v>
      </c>
      <c r="U10" s="3">
        <v>135</v>
      </c>
      <c r="V10" s="3">
        <v>199</v>
      </c>
      <c r="W10" s="3">
        <v>146.69999999999999</v>
      </c>
      <c r="X10" s="3" t="s">
        <v>32</v>
      </c>
      <c r="Y10" s="3" t="s">
        <v>49</v>
      </c>
      <c r="Z10" s="3">
        <v>87.5</v>
      </c>
      <c r="AA10" s="3">
        <v>3.5</v>
      </c>
      <c r="AB10" s="3">
        <v>3</v>
      </c>
      <c r="AC10" s="3">
        <v>-8</v>
      </c>
      <c r="AD10" s="3">
        <v>-2</v>
      </c>
      <c r="AE10" s="3">
        <f t="shared" si="0"/>
        <v>143.19999999999999</v>
      </c>
      <c r="AF10" s="3">
        <v>151.19999999999999</v>
      </c>
      <c r="AG10" s="3" t="s">
        <v>65</v>
      </c>
    </row>
    <row r="11" spans="1:33" s="3" customFormat="1" x14ac:dyDescent="0.25">
      <c r="A11" s="3">
        <v>301</v>
      </c>
      <c r="B11" s="3" t="str" cm="1">
        <f t="array" ref="B11">INDEX(Teams!$A$1:$N$1,1,SUMPRODUCT((Teams!$A$2:$N$13=C11&amp;" "&amp;D11)*COLUMN(A:N)))</f>
        <v xml:space="preserve">  Wolverines</v>
      </c>
      <c r="C11" s="3" t="s">
        <v>51</v>
      </c>
      <c r="D11" s="3" t="s">
        <v>76</v>
      </c>
      <c r="E11" s="3" t="s">
        <v>77</v>
      </c>
      <c r="F11" s="3" t="s">
        <v>139</v>
      </c>
      <c r="G11" s="3" t="s">
        <v>192</v>
      </c>
      <c r="H11" s="3">
        <v>62</v>
      </c>
      <c r="I11" s="3">
        <v>75</v>
      </c>
      <c r="J11" s="3">
        <v>11</v>
      </c>
      <c r="K11" s="3">
        <v>289</v>
      </c>
      <c r="L11" s="3">
        <v>376</v>
      </c>
      <c r="M11" s="3">
        <v>76.900000000000006</v>
      </c>
      <c r="N11" s="4">
        <v>0.53600000000000003</v>
      </c>
      <c r="O11" s="3">
        <v>155</v>
      </c>
      <c r="P11" s="3">
        <v>134</v>
      </c>
      <c r="Q11" s="4">
        <v>0.34899999999999998</v>
      </c>
      <c r="R11" s="4">
        <v>0.34499999999999997</v>
      </c>
      <c r="S11" s="4">
        <v>0.32600000000000001</v>
      </c>
      <c r="T11" s="3">
        <v>136</v>
      </c>
      <c r="U11" s="3">
        <v>137</v>
      </c>
      <c r="V11" s="3">
        <v>126</v>
      </c>
      <c r="W11" s="3">
        <v>134.5</v>
      </c>
      <c r="X11" s="3" t="s">
        <v>32</v>
      </c>
      <c r="Y11" s="3" t="s">
        <v>33</v>
      </c>
      <c r="Z11" s="3">
        <v>100</v>
      </c>
      <c r="AA11" s="3">
        <v>4</v>
      </c>
      <c r="AB11" s="3">
        <v>3</v>
      </c>
      <c r="AC11" s="3">
        <v>-10</v>
      </c>
      <c r="AD11" s="3">
        <v>0</v>
      </c>
      <c r="AE11" s="3">
        <f t="shared" si="0"/>
        <v>131.5</v>
      </c>
      <c r="AF11" s="3">
        <v>141.5</v>
      </c>
      <c r="AG11" s="3" t="s">
        <v>78</v>
      </c>
    </row>
    <row r="12" spans="1:33" s="3" customFormat="1" x14ac:dyDescent="0.25">
      <c r="A12" s="3">
        <v>476</v>
      </c>
      <c r="B12" s="3" t="str" cm="1">
        <f t="array" ref="B12">INDEX(Teams!$A$1:$N$1,1,SUMPRODUCT((Teams!$A$2:$N$13=C12&amp;" "&amp;D12)*COLUMN(A:N)))</f>
        <v xml:space="preserve">  Norsemen</v>
      </c>
      <c r="C12" s="3" t="s">
        <v>69</v>
      </c>
      <c r="D12" s="3" t="s">
        <v>70</v>
      </c>
      <c r="E12" s="3" t="s">
        <v>71</v>
      </c>
      <c r="F12" s="3" t="s">
        <v>459</v>
      </c>
      <c r="G12" s="3" t="s">
        <v>420</v>
      </c>
      <c r="H12" s="3">
        <v>60</v>
      </c>
      <c r="I12" s="3">
        <v>81</v>
      </c>
      <c r="J12" s="3">
        <v>4</v>
      </c>
      <c r="K12" s="3">
        <v>128</v>
      </c>
      <c r="L12" s="3">
        <v>163</v>
      </c>
      <c r="M12" s="3">
        <v>78.5</v>
      </c>
      <c r="N12" s="4">
        <v>0.51600000000000001</v>
      </c>
      <c r="O12" s="3">
        <v>66</v>
      </c>
      <c r="P12" s="3">
        <v>62</v>
      </c>
      <c r="Q12" s="4">
        <v>0.33600000000000002</v>
      </c>
      <c r="S12" s="4">
        <v>0.38800000000000001</v>
      </c>
      <c r="T12" s="3">
        <v>131</v>
      </c>
      <c r="V12" s="3">
        <v>150</v>
      </c>
      <c r="W12" s="3">
        <v>138.30000000000001</v>
      </c>
      <c r="X12" s="3" t="s">
        <v>56</v>
      </c>
      <c r="Y12" s="3" t="s">
        <v>33</v>
      </c>
      <c r="Z12" s="3">
        <v>100</v>
      </c>
      <c r="AA12" s="3">
        <v>5</v>
      </c>
      <c r="AB12" s="3">
        <v>3</v>
      </c>
      <c r="AC12" s="3">
        <v>-5</v>
      </c>
      <c r="AD12" s="3">
        <v>0</v>
      </c>
      <c r="AE12" s="3">
        <f t="shared" si="0"/>
        <v>141.30000000000001</v>
      </c>
      <c r="AF12" s="3">
        <v>146.30000000000001</v>
      </c>
      <c r="AG12" s="3" t="s">
        <v>72</v>
      </c>
    </row>
    <row r="13" spans="1:33" x14ac:dyDescent="0.25">
      <c r="A13" s="3">
        <v>431</v>
      </c>
      <c r="B13" s="3" t="str" cm="1">
        <f t="array" ref="B13">INDEX(Teams!$A$1:$N$1,1,SUMPRODUCT((Teams!$A$2:$N$13=C13&amp;" "&amp;D13)*COLUMN(A:N)))</f>
        <v>Lightning Strikes</v>
      </c>
      <c r="C13" s="3" t="s">
        <v>79</v>
      </c>
      <c r="D13" s="3" t="s">
        <v>80</v>
      </c>
      <c r="E13" s="3" t="s">
        <v>37</v>
      </c>
      <c r="F13" s="3" t="s">
        <v>420</v>
      </c>
      <c r="G13" s="3" t="s">
        <v>31</v>
      </c>
      <c r="H13" s="3">
        <v>54</v>
      </c>
      <c r="I13" s="3">
        <v>95</v>
      </c>
      <c r="J13" s="3">
        <v>6</v>
      </c>
      <c r="K13" s="3">
        <v>248</v>
      </c>
      <c r="L13" s="3">
        <v>261</v>
      </c>
      <c r="M13" s="3">
        <v>95</v>
      </c>
      <c r="N13" s="4">
        <v>0.58099999999999996</v>
      </c>
      <c r="O13" s="3">
        <v>144</v>
      </c>
      <c r="P13" s="3">
        <v>104</v>
      </c>
      <c r="Q13" s="4">
        <v>0.30599999999999999</v>
      </c>
      <c r="R13" s="4">
        <v>0.36299999999999999</v>
      </c>
      <c r="S13" s="4">
        <v>0.32800000000000001</v>
      </c>
      <c r="T13" s="3">
        <v>120</v>
      </c>
      <c r="U13" s="3">
        <v>145</v>
      </c>
      <c r="V13" s="3">
        <v>127</v>
      </c>
      <c r="W13" s="3">
        <v>128.5</v>
      </c>
      <c r="X13" s="3" t="s">
        <v>32</v>
      </c>
      <c r="Y13" s="3" t="s">
        <v>33</v>
      </c>
      <c r="Z13" s="3">
        <v>100</v>
      </c>
      <c r="AA13" s="3">
        <v>4</v>
      </c>
      <c r="AB13" s="3">
        <v>5</v>
      </c>
      <c r="AC13" s="3">
        <v>0</v>
      </c>
      <c r="AD13" s="3">
        <v>2</v>
      </c>
      <c r="AE13" s="3">
        <f t="shared" si="0"/>
        <v>139.5</v>
      </c>
      <c r="AF13" s="3">
        <v>139.5</v>
      </c>
      <c r="AG13" s="3"/>
    </row>
    <row r="14" spans="1:33" s="3" customFormat="1" x14ac:dyDescent="0.25">
      <c r="A14" s="3">
        <v>611</v>
      </c>
      <c r="B14" s="3" t="str" cm="1">
        <f t="array" ref="B14">INDEX(Teams!$A$1:$N$1,1,SUMPRODUCT((Teams!$A$2:$N$13=C14&amp;" "&amp;D14)*COLUMN(A:N)))</f>
        <v xml:space="preserve">  Wolverines</v>
      </c>
      <c r="C14" s="3" t="s">
        <v>83</v>
      </c>
      <c r="D14" s="3" t="s">
        <v>84</v>
      </c>
      <c r="E14" s="3" t="s">
        <v>77</v>
      </c>
      <c r="F14" s="3" t="s">
        <v>420</v>
      </c>
      <c r="G14" s="3" t="s">
        <v>420</v>
      </c>
      <c r="H14" s="3">
        <v>55</v>
      </c>
      <c r="I14" s="3">
        <v>66</v>
      </c>
      <c r="J14" s="3">
        <v>9</v>
      </c>
      <c r="K14" s="3">
        <v>17</v>
      </c>
      <c r="L14" s="3">
        <v>22</v>
      </c>
      <c r="M14" s="3">
        <v>77.3</v>
      </c>
      <c r="N14" s="4">
        <v>0.70599999999999996</v>
      </c>
      <c r="O14" s="3">
        <v>12</v>
      </c>
      <c r="P14" s="3">
        <v>5</v>
      </c>
      <c r="Q14" s="4">
        <v>0.32500000000000001</v>
      </c>
      <c r="T14" s="3">
        <v>127</v>
      </c>
      <c r="W14" s="3">
        <v>127.2</v>
      </c>
      <c r="X14" s="3" t="s">
        <v>85</v>
      </c>
      <c r="Y14" s="3" t="s">
        <v>86</v>
      </c>
      <c r="Z14" s="3">
        <v>69.099999999999994</v>
      </c>
      <c r="AA14" s="3">
        <v>4</v>
      </c>
      <c r="AB14" s="3">
        <v>5</v>
      </c>
      <c r="AC14" s="3">
        <v>3</v>
      </c>
      <c r="AD14" s="3">
        <v>0</v>
      </c>
      <c r="AE14" s="3">
        <f t="shared" si="0"/>
        <v>139.19999999999999</v>
      </c>
      <c r="AF14" s="3">
        <v>136.19999999999999</v>
      </c>
    </row>
    <row r="15" spans="1:33" s="3" customFormat="1" x14ac:dyDescent="0.25">
      <c r="A15" s="3">
        <v>503</v>
      </c>
      <c r="B15" s="3" t="str" cm="1">
        <f t="array" ref="B15">INDEX(Teams!$A$1:$N$1,1,SUMPRODUCT((Teams!$A$2:$N$13=C15&amp;" "&amp;D15)*COLUMN(A:N)))</f>
        <v>Bad News Bears</v>
      </c>
      <c r="C15" s="3" t="s">
        <v>66</v>
      </c>
      <c r="D15" s="3" t="s">
        <v>67</v>
      </c>
      <c r="E15" s="3" t="s">
        <v>37</v>
      </c>
      <c r="F15" s="3" t="s">
        <v>420</v>
      </c>
      <c r="G15" s="3" t="s">
        <v>192</v>
      </c>
      <c r="H15" s="3">
        <v>54</v>
      </c>
      <c r="I15" s="3">
        <v>48</v>
      </c>
      <c r="J15" s="3">
        <v>6</v>
      </c>
      <c r="K15" s="3">
        <v>106</v>
      </c>
      <c r="L15" s="3">
        <v>128</v>
      </c>
      <c r="M15" s="3">
        <v>82.8</v>
      </c>
      <c r="N15" s="4">
        <v>0.53800000000000003</v>
      </c>
      <c r="O15" s="3">
        <v>57</v>
      </c>
      <c r="P15" s="3">
        <v>49</v>
      </c>
      <c r="Q15" s="4">
        <v>0.35</v>
      </c>
      <c r="S15" s="4">
        <v>0.36599999999999999</v>
      </c>
      <c r="T15" s="3">
        <v>137</v>
      </c>
      <c r="V15" s="3">
        <v>141</v>
      </c>
      <c r="W15" s="3">
        <v>136.6</v>
      </c>
      <c r="X15" s="3" t="s">
        <v>56</v>
      </c>
      <c r="Y15" s="3" t="s">
        <v>33</v>
      </c>
      <c r="Z15" s="3">
        <v>100</v>
      </c>
      <c r="AA15" s="3">
        <v>4</v>
      </c>
      <c r="AB15" s="3">
        <v>5</v>
      </c>
      <c r="AC15" s="3">
        <v>-8</v>
      </c>
      <c r="AD15" s="3">
        <v>1</v>
      </c>
      <c r="AE15" s="3">
        <f t="shared" si="0"/>
        <v>138.6</v>
      </c>
      <c r="AF15" s="3">
        <v>146.6</v>
      </c>
      <c r="AG15" s="3" t="s">
        <v>68</v>
      </c>
    </row>
    <row r="16" spans="1:33" s="3" customFormat="1" x14ac:dyDescent="0.25">
      <c r="A16" s="3">
        <v>569</v>
      </c>
      <c r="B16" s="3" t="str" cm="1">
        <f t="array" ref="B16">INDEX(Teams!$A$1:$N$1,1,SUMPRODUCT((Teams!$A$2:$N$13=C16&amp;" "&amp;D16)*COLUMN(A:N)))</f>
        <v xml:space="preserve">Shorebirds  </v>
      </c>
      <c r="C16" s="3" t="s">
        <v>87</v>
      </c>
      <c r="D16" s="3" t="s">
        <v>88</v>
      </c>
      <c r="E16" s="3" t="s">
        <v>37</v>
      </c>
      <c r="F16" s="3" t="s">
        <v>420</v>
      </c>
      <c r="G16" s="3" t="s">
        <v>420</v>
      </c>
      <c r="H16" s="3">
        <v>54</v>
      </c>
      <c r="I16" s="3">
        <v>87</v>
      </c>
      <c r="J16" s="3">
        <v>7</v>
      </c>
      <c r="K16" s="3">
        <v>78</v>
      </c>
      <c r="L16" s="3">
        <v>87</v>
      </c>
      <c r="M16" s="3">
        <v>89.7</v>
      </c>
      <c r="N16" s="4">
        <v>0.53800000000000003</v>
      </c>
      <c r="O16" s="3">
        <v>42</v>
      </c>
      <c r="P16" s="3">
        <v>36</v>
      </c>
      <c r="Q16" s="4">
        <v>0.30199999999999999</v>
      </c>
      <c r="R16" s="4">
        <v>0.34300000000000003</v>
      </c>
      <c r="S16" s="4">
        <v>0.33600000000000002</v>
      </c>
      <c r="T16" s="3">
        <v>118</v>
      </c>
      <c r="U16" s="3">
        <v>137</v>
      </c>
      <c r="V16" s="3">
        <v>130</v>
      </c>
      <c r="W16" s="3">
        <v>126.1</v>
      </c>
      <c r="X16" s="3" t="s">
        <v>32</v>
      </c>
      <c r="Y16" s="3" t="s">
        <v>33</v>
      </c>
      <c r="Z16" s="3">
        <v>100</v>
      </c>
      <c r="AA16" s="3">
        <v>4</v>
      </c>
      <c r="AB16" s="3">
        <v>5</v>
      </c>
      <c r="AC16" s="3">
        <v>2</v>
      </c>
      <c r="AD16" s="3">
        <v>1</v>
      </c>
      <c r="AE16" s="3">
        <f t="shared" si="0"/>
        <v>138.1</v>
      </c>
      <c r="AF16" s="3">
        <v>136.1</v>
      </c>
      <c r="AG16" s="3" t="s">
        <v>89</v>
      </c>
    </row>
    <row r="17" spans="1:33" s="3" customFormat="1" x14ac:dyDescent="0.25">
      <c r="A17" s="3">
        <v>468</v>
      </c>
      <c r="B17" s="3" t="str" cm="1">
        <f t="array" ref="B17">INDEX(Teams!$A$1:$N$1,1,SUMPRODUCT((Teams!$A$2:$N$13=C17&amp;" "&amp;D17)*COLUMN(A:N)))</f>
        <v>DEATHSTARS .</v>
      </c>
      <c r="C17" s="3" t="s">
        <v>73</v>
      </c>
      <c r="D17" s="3" t="s">
        <v>74</v>
      </c>
      <c r="E17" s="3" t="s">
        <v>71</v>
      </c>
      <c r="F17" s="3" t="s">
        <v>71</v>
      </c>
      <c r="G17" s="3" t="s">
        <v>438</v>
      </c>
      <c r="H17" s="3">
        <v>64</v>
      </c>
      <c r="I17" s="3">
        <v>0</v>
      </c>
      <c r="J17" s="3">
        <v>0</v>
      </c>
      <c r="K17" s="3">
        <v>72</v>
      </c>
      <c r="L17" s="3">
        <v>89</v>
      </c>
      <c r="M17" s="3">
        <v>80.900000000000006</v>
      </c>
      <c r="N17" s="4">
        <v>0.58299999999999996</v>
      </c>
      <c r="O17" s="3">
        <v>42</v>
      </c>
      <c r="P17" s="3">
        <v>30</v>
      </c>
      <c r="Q17" s="4">
        <v>0</v>
      </c>
      <c r="S17" s="4">
        <v>0.34799999999999998</v>
      </c>
      <c r="T17" s="3">
        <v>0</v>
      </c>
      <c r="V17" s="3">
        <v>134</v>
      </c>
      <c r="W17" s="3">
        <v>132.69999999999999</v>
      </c>
      <c r="X17" s="3" t="s">
        <v>43</v>
      </c>
      <c r="Y17" s="3" t="s">
        <v>33</v>
      </c>
      <c r="Z17" s="3">
        <v>100</v>
      </c>
      <c r="AA17" s="3">
        <v>5</v>
      </c>
      <c r="AB17" s="3">
        <v>3</v>
      </c>
      <c r="AC17" s="3">
        <v>-6</v>
      </c>
      <c r="AD17" s="3">
        <v>1</v>
      </c>
      <c r="AE17" s="3">
        <f t="shared" si="0"/>
        <v>135.69999999999999</v>
      </c>
      <c r="AF17" s="3">
        <v>141.69999999999999</v>
      </c>
      <c r="AG17" s="3" t="s">
        <v>75</v>
      </c>
    </row>
    <row r="18" spans="1:33" s="3" customFormat="1" x14ac:dyDescent="0.25">
      <c r="A18" s="3">
        <v>605</v>
      </c>
      <c r="B18" s="3" t="str" cm="1">
        <f t="array" ref="B18">INDEX(Teams!$A$1:$N$1,1,SUMPRODUCT((Teams!$A$2:$N$13=C18&amp;" "&amp;D18)*COLUMN(A:N)))</f>
        <v xml:space="preserve">Bearcats  </v>
      </c>
      <c r="C18" s="3" t="s">
        <v>90</v>
      </c>
      <c r="D18" s="3" t="s">
        <v>91</v>
      </c>
      <c r="E18" s="3" t="s">
        <v>92</v>
      </c>
      <c r="F18" s="3" t="s">
        <v>92</v>
      </c>
      <c r="G18" s="3" t="s">
        <v>31</v>
      </c>
      <c r="H18" s="3">
        <v>63</v>
      </c>
      <c r="I18" s="3">
        <v>0</v>
      </c>
      <c r="J18" s="3">
        <v>0</v>
      </c>
      <c r="K18" s="3">
        <v>9</v>
      </c>
      <c r="L18" s="3">
        <v>20</v>
      </c>
      <c r="M18" s="3">
        <v>45</v>
      </c>
      <c r="N18" s="4">
        <v>0.33300000000000002</v>
      </c>
      <c r="O18" s="3">
        <v>3</v>
      </c>
      <c r="P18" s="3">
        <v>6</v>
      </c>
      <c r="Q18" s="4">
        <v>0</v>
      </c>
      <c r="R18" s="4">
        <v>0.33500000000000002</v>
      </c>
      <c r="T18" s="3">
        <v>0</v>
      </c>
      <c r="U18" s="3">
        <v>133</v>
      </c>
      <c r="W18" s="3">
        <v>133.4</v>
      </c>
      <c r="X18" s="3" t="s">
        <v>93</v>
      </c>
      <c r="Y18" s="3" t="s">
        <v>94</v>
      </c>
      <c r="Z18" s="3">
        <v>53.6</v>
      </c>
      <c r="AA18" s="3">
        <v>1.5</v>
      </c>
      <c r="AB18" s="3">
        <v>3</v>
      </c>
      <c r="AC18" s="3">
        <v>0</v>
      </c>
      <c r="AD18" s="3">
        <v>-4</v>
      </c>
      <c r="AE18" s="3">
        <f t="shared" si="0"/>
        <v>133.9</v>
      </c>
      <c r="AF18" s="3">
        <v>133.9</v>
      </c>
      <c r="AG18" s="3" t="s">
        <v>95</v>
      </c>
    </row>
    <row r="19" spans="1:33" s="3" customFormat="1" x14ac:dyDescent="0.25">
      <c r="A19" s="3">
        <v>485</v>
      </c>
      <c r="B19" s="3" t="str" cm="1">
        <f t="array" ref="B19">INDEX(Teams!$A$1:$N$1,1,SUMPRODUCT((Teams!$A$2:$N$13=C19&amp;" "&amp;D19)*COLUMN(A:N)))</f>
        <v>Bad News Bears</v>
      </c>
      <c r="C19" s="3" t="s">
        <v>96</v>
      </c>
      <c r="D19" s="3" t="s">
        <v>97</v>
      </c>
      <c r="E19" s="3" t="s">
        <v>77</v>
      </c>
      <c r="F19" s="3" t="s">
        <v>586</v>
      </c>
      <c r="G19" s="3" t="s">
        <v>586</v>
      </c>
      <c r="H19" s="3">
        <v>55</v>
      </c>
      <c r="I19" s="3">
        <v>95</v>
      </c>
      <c r="J19" s="3">
        <v>6</v>
      </c>
      <c r="K19" s="3">
        <v>156</v>
      </c>
      <c r="L19" s="3">
        <v>182</v>
      </c>
      <c r="M19" s="3">
        <v>85.7</v>
      </c>
      <c r="N19" s="4">
        <v>0.45500000000000002</v>
      </c>
      <c r="O19" s="3">
        <v>71</v>
      </c>
      <c r="P19" s="3">
        <v>85</v>
      </c>
      <c r="Q19" s="4">
        <v>0.32400000000000001</v>
      </c>
      <c r="S19" s="4">
        <v>0.318</v>
      </c>
      <c r="T19" s="3">
        <v>127</v>
      </c>
      <c r="V19" s="3">
        <v>123</v>
      </c>
      <c r="W19" s="3">
        <v>123</v>
      </c>
      <c r="X19" s="3" t="s">
        <v>56</v>
      </c>
      <c r="Y19" s="3" t="s">
        <v>33</v>
      </c>
      <c r="Z19" s="3">
        <v>100</v>
      </c>
      <c r="AA19" s="3">
        <v>4</v>
      </c>
      <c r="AB19" s="3">
        <v>5</v>
      </c>
      <c r="AC19" s="3">
        <v>0</v>
      </c>
      <c r="AD19" s="3">
        <v>1</v>
      </c>
      <c r="AE19" s="3">
        <f t="shared" si="0"/>
        <v>133</v>
      </c>
      <c r="AF19" s="3">
        <v>133</v>
      </c>
    </row>
    <row r="20" spans="1:33" s="3" customFormat="1" x14ac:dyDescent="0.25">
      <c r="A20" s="3">
        <v>566</v>
      </c>
      <c r="B20" s="3" t="str" cm="1">
        <f t="array" ref="B20">INDEX(Teams!$A$1:$N$1,1,SUMPRODUCT((Teams!$A$2:$N$13=C20&amp;" "&amp;D20)*COLUMN(A:N)))</f>
        <v xml:space="preserve">Gunslingers  </v>
      </c>
      <c r="C20" s="3" t="s">
        <v>81</v>
      </c>
      <c r="D20" s="3" t="s">
        <v>82</v>
      </c>
      <c r="E20" s="3" t="s">
        <v>47</v>
      </c>
      <c r="F20" s="3" t="s">
        <v>526</v>
      </c>
      <c r="G20" s="3" t="s">
        <v>526</v>
      </c>
      <c r="H20" s="3">
        <v>52</v>
      </c>
      <c r="I20" s="3">
        <v>89</v>
      </c>
      <c r="J20" s="3">
        <v>15</v>
      </c>
      <c r="K20" s="3">
        <v>85</v>
      </c>
      <c r="L20" s="3">
        <v>87</v>
      </c>
      <c r="M20" s="3">
        <v>97.7</v>
      </c>
      <c r="N20" s="4">
        <v>0.45900000000000002</v>
      </c>
      <c r="O20" s="3">
        <v>39</v>
      </c>
      <c r="P20" s="3">
        <v>46</v>
      </c>
      <c r="Q20" s="4">
        <v>0.33400000000000002</v>
      </c>
      <c r="R20" s="4">
        <v>0.35399999999999998</v>
      </c>
      <c r="S20" s="4">
        <v>0.26500000000000001</v>
      </c>
      <c r="T20" s="3">
        <v>131</v>
      </c>
      <c r="U20" s="3">
        <v>141</v>
      </c>
      <c r="V20" s="3">
        <v>102</v>
      </c>
      <c r="W20" s="3">
        <v>128.19999999999999</v>
      </c>
      <c r="X20" s="3" t="s">
        <v>32</v>
      </c>
      <c r="Y20" s="3" t="s">
        <v>33</v>
      </c>
      <c r="Z20" s="3">
        <v>97.5</v>
      </c>
      <c r="AA20" s="3">
        <v>2.5</v>
      </c>
      <c r="AB20" s="3">
        <v>5</v>
      </c>
      <c r="AC20" s="3">
        <v>-5</v>
      </c>
      <c r="AD20" s="3">
        <v>2</v>
      </c>
      <c r="AE20" s="3">
        <f t="shared" si="0"/>
        <v>132.69999999999999</v>
      </c>
      <c r="AF20" s="3">
        <v>137.69999999999999</v>
      </c>
    </row>
    <row r="21" spans="1:33" s="3" customFormat="1" x14ac:dyDescent="0.25">
      <c r="A21" s="3">
        <v>577</v>
      </c>
      <c r="B21" s="3" t="str" cm="1">
        <f t="array" ref="B21">INDEX(Teams!$A$1:$N$1,1,SUMPRODUCT((Teams!$A$2:$N$13=C21&amp;" "&amp;D21)*COLUMN(A:N)))</f>
        <v>Big Dawgs</v>
      </c>
      <c r="C21" s="3" t="s">
        <v>100</v>
      </c>
      <c r="D21" s="3" t="s">
        <v>101</v>
      </c>
      <c r="E21" s="3" t="s">
        <v>71</v>
      </c>
      <c r="F21" s="3" t="s">
        <v>31</v>
      </c>
      <c r="G21" s="3" t="s">
        <v>92</v>
      </c>
      <c r="H21" s="3">
        <v>65</v>
      </c>
      <c r="I21" s="3">
        <v>0</v>
      </c>
      <c r="J21" s="3">
        <v>0</v>
      </c>
      <c r="K21" s="3">
        <v>18</v>
      </c>
      <c r="L21" s="3">
        <v>22</v>
      </c>
      <c r="M21" s="3">
        <v>81.8</v>
      </c>
      <c r="N21" s="4">
        <v>0.72199999999999998</v>
      </c>
      <c r="O21" s="3">
        <v>13</v>
      </c>
      <c r="P21" s="3">
        <v>5</v>
      </c>
      <c r="Q21" s="4">
        <v>0</v>
      </c>
      <c r="S21" s="4">
        <v>0.32100000000000001</v>
      </c>
      <c r="T21" s="3">
        <v>0</v>
      </c>
      <c r="V21" s="3">
        <v>124</v>
      </c>
      <c r="W21" s="3">
        <v>124.2</v>
      </c>
      <c r="X21" s="3" t="s">
        <v>102</v>
      </c>
      <c r="Y21" s="3" t="s">
        <v>86</v>
      </c>
      <c r="Z21" s="3">
        <v>69.099999999999994</v>
      </c>
      <c r="AA21" s="3">
        <v>5</v>
      </c>
      <c r="AB21" s="3">
        <v>1</v>
      </c>
      <c r="AC21" s="3">
        <v>0</v>
      </c>
      <c r="AD21" s="3">
        <v>1</v>
      </c>
      <c r="AE21" s="3">
        <f t="shared" si="0"/>
        <v>131.19999999999999</v>
      </c>
      <c r="AF21" s="3">
        <v>131.19999999999999</v>
      </c>
      <c r="AG21" s="3" t="s">
        <v>103</v>
      </c>
    </row>
    <row r="22" spans="1:33" s="3" customFormat="1" x14ac:dyDescent="0.25">
      <c r="A22" s="3">
        <v>296</v>
      </c>
      <c r="B22" s="3" t="str" cm="1">
        <f t="array" ref="B22">INDEX(Teams!$A$1:$N$1,1,SUMPRODUCT((Teams!$A$2:$N$13=C22&amp;" "&amp;D22)*COLUMN(A:N)))</f>
        <v xml:space="preserve">Shorebirds  </v>
      </c>
      <c r="C22" s="3" t="s">
        <v>104</v>
      </c>
      <c r="D22" s="3" t="s">
        <v>105</v>
      </c>
      <c r="E22" s="3" t="s">
        <v>31</v>
      </c>
      <c r="F22" s="3" t="s">
        <v>31</v>
      </c>
      <c r="G22" s="3" t="s">
        <v>31</v>
      </c>
      <c r="H22" s="3">
        <v>65</v>
      </c>
      <c r="I22" s="3">
        <v>0</v>
      </c>
      <c r="J22" s="3">
        <v>0</v>
      </c>
      <c r="K22" s="3">
        <v>269</v>
      </c>
      <c r="L22" s="3">
        <v>330</v>
      </c>
      <c r="M22" s="3">
        <v>81.5</v>
      </c>
      <c r="N22" s="4">
        <v>0.55000000000000004</v>
      </c>
      <c r="O22" s="3">
        <v>148</v>
      </c>
      <c r="P22" s="3">
        <v>121</v>
      </c>
      <c r="Q22" s="4">
        <v>0</v>
      </c>
      <c r="S22" s="4">
        <v>0.317</v>
      </c>
      <c r="T22" s="3">
        <v>0</v>
      </c>
      <c r="V22" s="3">
        <v>122</v>
      </c>
      <c r="W22" s="3">
        <v>124.8</v>
      </c>
      <c r="X22" s="3" t="s">
        <v>106</v>
      </c>
      <c r="Y22" s="3" t="s">
        <v>33</v>
      </c>
      <c r="Z22" s="3">
        <v>100</v>
      </c>
      <c r="AA22" s="3">
        <v>3.5</v>
      </c>
      <c r="AB22" s="3">
        <v>1</v>
      </c>
      <c r="AC22" s="3">
        <v>0</v>
      </c>
      <c r="AD22" s="3">
        <v>1</v>
      </c>
      <c r="AE22" s="3">
        <f t="shared" si="0"/>
        <v>130.30000000000001</v>
      </c>
      <c r="AF22" s="3">
        <v>130.30000000000001</v>
      </c>
      <c r="AG22" s="3" t="s">
        <v>107</v>
      </c>
    </row>
    <row r="23" spans="1:33" x14ac:dyDescent="0.25">
      <c r="A23" s="5">
        <v>458</v>
      </c>
      <c r="B23" s="3" t="str" cm="1">
        <f t="array" ref="B23">INDEX(Teams!$A$1:$N$1,1,SUMPRODUCT((Teams!$A$2:$N$13=C23&amp;" "&amp;D23)*COLUMN(A:N)))</f>
        <v xml:space="preserve">Gunslingers  </v>
      </c>
      <c r="C23" s="5" t="s">
        <v>100</v>
      </c>
      <c r="D23" s="5" t="s">
        <v>108</v>
      </c>
      <c r="E23" s="5" t="s">
        <v>47</v>
      </c>
      <c r="F23" s="5" t="s">
        <v>438</v>
      </c>
      <c r="G23" s="5" t="s">
        <v>92</v>
      </c>
      <c r="H23" s="5">
        <v>56</v>
      </c>
      <c r="I23" s="5">
        <v>84</v>
      </c>
      <c r="J23" s="5">
        <v>4</v>
      </c>
      <c r="K23" s="5">
        <v>229</v>
      </c>
      <c r="L23" s="5">
        <v>247</v>
      </c>
      <c r="M23" s="5">
        <v>92.7</v>
      </c>
      <c r="N23" s="6">
        <v>0.51500000000000001</v>
      </c>
      <c r="O23" s="5">
        <v>118</v>
      </c>
      <c r="P23" s="5">
        <v>111</v>
      </c>
      <c r="Q23" s="6">
        <v>0.32400000000000001</v>
      </c>
      <c r="R23" s="6">
        <v>0.27900000000000003</v>
      </c>
      <c r="S23" s="6">
        <v>0.29199999999999998</v>
      </c>
      <c r="T23" s="5">
        <v>127</v>
      </c>
      <c r="U23" s="5">
        <v>111</v>
      </c>
      <c r="V23" s="5">
        <v>113</v>
      </c>
      <c r="W23" s="5">
        <v>119.3</v>
      </c>
      <c r="X23" s="5" t="s">
        <v>32</v>
      </c>
      <c r="Y23" s="5" t="s">
        <v>33</v>
      </c>
      <c r="Z23" s="5">
        <v>100</v>
      </c>
      <c r="AA23" s="5">
        <v>2.5</v>
      </c>
      <c r="AB23" s="5">
        <v>5</v>
      </c>
      <c r="AC23" s="5">
        <v>0</v>
      </c>
      <c r="AD23" s="5">
        <v>2</v>
      </c>
      <c r="AE23" s="5">
        <f t="shared" si="0"/>
        <v>128.80000000000001</v>
      </c>
      <c r="AF23" s="5">
        <v>128.80000000000001</v>
      </c>
      <c r="AG23" s="5"/>
    </row>
    <row r="24" spans="1:33" s="3" customFormat="1" x14ac:dyDescent="0.25">
      <c r="A24" s="3">
        <v>546</v>
      </c>
      <c r="B24" s="3" t="str" cm="1">
        <f t="array" ref="B24">INDEX(Teams!$A$1:$N$1,1,SUMPRODUCT((Teams!$A$2:$N$13=C24&amp;" "&amp;D24)*COLUMN(A:N)))</f>
        <v xml:space="preserve">Rebels  </v>
      </c>
      <c r="C24" s="3" t="s">
        <v>109</v>
      </c>
      <c r="D24" s="3" t="s">
        <v>110</v>
      </c>
      <c r="E24" s="3" t="s">
        <v>31</v>
      </c>
      <c r="F24" s="3" t="s">
        <v>31</v>
      </c>
      <c r="G24" s="3" t="s">
        <v>92</v>
      </c>
      <c r="H24" s="3">
        <v>58</v>
      </c>
      <c r="I24" s="3">
        <v>73</v>
      </c>
      <c r="J24" s="3">
        <v>8</v>
      </c>
      <c r="K24" s="3">
        <v>33</v>
      </c>
      <c r="L24" s="3">
        <v>66</v>
      </c>
      <c r="M24" s="3">
        <v>50</v>
      </c>
      <c r="N24" s="4">
        <v>0.39400000000000002</v>
      </c>
      <c r="O24" s="3">
        <v>13</v>
      </c>
      <c r="P24" s="3">
        <v>20</v>
      </c>
      <c r="Q24" s="4">
        <v>0.33200000000000002</v>
      </c>
      <c r="S24" s="4">
        <v>0.28399999999999997</v>
      </c>
      <c r="T24" s="3">
        <v>130</v>
      </c>
      <c r="V24" s="3">
        <v>110</v>
      </c>
      <c r="W24" s="3">
        <v>124</v>
      </c>
      <c r="X24" s="3" t="s">
        <v>111</v>
      </c>
      <c r="Y24" s="3" t="s">
        <v>33</v>
      </c>
      <c r="Z24" s="3">
        <v>92.5</v>
      </c>
      <c r="AA24" s="3">
        <v>3.5</v>
      </c>
      <c r="AB24" s="3">
        <v>5</v>
      </c>
      <c r="AC24" s="3">
        <v>0</v>
      </c>
      <c r="AD24" s="3">
        <v>-4</v>
      </c>
      <c r="AE24" s="3">
        <f t="shared" si="0"/>
        <v>128.5</v>
      </c>
      <c r="AF24" s="3">
        <v>128.5</v>
      </c>
    </row>
    <row r="25" spans="1:33" s="3" customFormat="1" x14ac:dyDescent="0.25">
      <c r="A25" s="3">
        <v>324</v>
      </c>
      <c r="B25" s="3" t="str" cm="1">
        <f t="array" ref="B25">INDEX(Teams!$A$1:$N$1,1,SUMPRODUCT((Teams!$A$2:$N$13=C25&amp;" "&amp;D25)*COLUMN(A:N)))</f>
        <v xml:space="preserve">Rebels  </v>
      </c>
      <c r="C25" s="3" t="s">
        <v>98</v>
      </c>
      <c r="D25" s="3" t="s">
        <v>99</v>
      </c>
      <c r="E25" s="3" t="s">
        <v>37</v>
      </c>
      <c r="F25" s="3" t="s">
        <v>420</v>
      </c>
      <c r="G25" s="3" t="s">
        <v>139</v>
      </c>
      <c r="H25" s="3">
        <v>66</v>
      </c>
      <c r="I25" s="3">
        <v>76</v>
      </c>
      <c r="J25" s="3">
        <v>10</v>
      </c>
      <c r="K25" s="3">
        <v>259</v>
      </c>
      <c r="L25" s="3">
        <v>352</v>
      </c>
      <c r="M25" s="3">
        <v>73.599999999999994</v>
      </c>
      <c r="N25" s="4">
        <v>0.53700000000000003</v>
      </c>
      <c r="O25" s="3">
        <v>139</v>
      </c>
      <c r="P25" s="3">
        <v>120</v>
      </c>
      <c r="Q25" s="4">
        <v>0.32</v>
      </c>
      <c r="S25" s="4">
        <v>0.35799999999999998</v>
      </c>
      <c r="T25" s="3">
        <v>125</v>
      </c>
      <c r="V25" s="3">
        <v>138</v>
      </c>
      <c r="W25" s="3">
        <v>126.3</v>
      </c>
      <c r="X25" s="3" t="s">
        <v>56</v>
      </c>
      <c r="Y25" s="3" t="s">
        <v>33</v>
      </c>
      <c r="Z25" s="3">
        <v>100</v>
      </c>
      <c r="AA25" s="3">
        <v>4</v>
      </c>
      <c r="AB25" s="3">
        <v>1</v>
      </c>
      <c r="AC25" s="3">
        <v>-3</v>
      </c>
      <c r="AD25" s="3">
        <v>0</v>
      </c>
      <c r="AE25" s="3">
        <f t="shared" si="0"/>
        <v>128.30000000000001</v>
      </c>
      <c r="AF25" s="3">
        <v>131.30000000000001</v>
      </c>
    </row>
    <row r="26" spans="1:33" s="3" customFormat="1" x14ac:dyDescent="0.25">
      <c r="A26" s="3">
        <v>523</v>
      </c>
      <c r="B26" s="3" t="str" cm="1">
        <f t="array" ref="B26">INDEX(Teams!$A$1:$N$1,1,SUMPRODUCT((Teams!$A$2:$N$13=C26&amp;" "&amp;D26)*COLUMN(A:N)))</f>
        <v>Team USA</v>
      </c>
      <c r="C26" s="3" t="s">
        <v>112</v>
      </c>
      <c r="D26" s="3" t="s">
        <v>113</v>
      </c>
      <c r="E26" s="3" t="s">
        <v>71</v>
      </c>
      <c r="F26" s="3" t="s">
        <v>459</v>
      </c>
      <c r="G26" s="3" t="s">
        <v>420</v>
      </c>
      <c r="H26" s="3">
        <v>61</v>
      </c>
      <c r="I26" s="3">
        <v>70</v>
      </c>
      <c r="J26" s="3">
        <v>5</v>
      </c>
      <c r="K26" s="3">
        <v>111</v>
      </c>
      <c r="L26" s="3">
        <v>128</v>
      </c>
      <c r="M26" s="3">
        <v>86.7</v>
      </c>
      <c r="N26" s="4">
        <v>0.35099999999999998</v>
      </c>
      <c r="O26" s="3">
        <v>39</v>
      </c>
      <c r="P26" s="3">
        <v>72</v>
      </c>
      <c r="Q26" s="4">
        <v>0.314</v>
      </c>
      <c r="R26" s="4">
        <v>0.27400000000000002</v>
      </c>
      <c r="S26" s="4">
        <v>0.318</v>
      </c>
      <c r="T26" s="3">
        <v>123</v>
      </c>
      <c r="U26" s="3">
        <v>109</v>
      </c>
      <c r="V26" s="3">
        <v>123</v>
      </c>
      <c r="W26" s="3">
        <v>118.7</v>
      </c>
      <c r="X26" s="3" t="s">
        <v>32</v>
      </c>
      <c r="Y26" s="3" t="s">
        <v>33</v>
      </c>
      <c r="Z26" s="3">
        <v>100</v>
      </c>
      <c r="AA26" s="3">
        <v>5</v>
      </c>
      <c r="AB26" s="3">
        <v>3</v>
      </c>
      <c r="AC26" s="3">
        <v>0</v>
      </c>
      <c r="AD26" s="3">
        <v>1</v>
      </c>
      <c r="AE26" s="3">
        <f t="shared" si="0"/>
        <v>127.7</v>
      </c>
      <c r="AF26" s="3">
        <v>127.7</v>
      </c>
    </row>
    <row r="27" spans="1:33" s="3" customFormat="1" x14ac:dyDescent="0.25">
      <c r="B27" s="3" t="str" cm="1">
        <f t="array" ref="B27">INDEX(Teams!$A$1:$N$1,1,SUMPRODUCT((Teams!$A$2:$N$13=C27&amp;" "&amp;D27)*COLUMN(A:N)))</f>
        <v xml:space="preserve">Bearcats  </v>
      </c>
      <c r="C27" s="3" t="s">
        <v>215</v>
      </c>
      <c r="D27" s="3" t="s">
        <v>401</v>
      </c>
      <c r="E27" s="3" t="s">
        <v>37</v>
      </c>
      <c r="F27" s="3" t="s">
        <v>420</v>
      </c>
      <c r="G27" s="3" t="s">
        <v>139</v>
      </c>
      <c r="I27" s="3" t="s">
        <v>396</v>
      </c>
      <c r="J27" s="3" t="s">
        <v>396</v>
      </c>
      <c r="K27" s="3">
        <v>0</v>
      </c>
      <c r="L27" s="3">
        <v>0</v>
      </c>
      <c r="O27" s="3">
        <v>0</v>
      </c>
      <c r="P27" s="3">
        <v>0</v>
      </c>
      <c r="Q27" s="3" t="s">
        <v>396</v>
      </c>
      <c r="Y27" s="3" t="s">
        <v>94</v>
      </c>
      <c r="Z27" s="3">
        <v>0</v>
      </c>
      <c r="AA27" s="3">
        <v>4</v>
      </c>
      <c r="AB27" s="3">
        <v>0</v>
      </c>
      <c r="AC27" s="3">
        <v>126</v>
      </c>
      <c r="AD27" s="3">
        <v>0</v>
      </c>
      <c r="AE27" s="3">
        <f t="shared" si="0"/>
        <v>126</v>
      </c>
      <c r="AG27" s="3" t="s">
        <v>199</v>
      </c>
    </row>
    <row r="28" spans="1:33" s="3" customFormat="1" x14ac:dyDescent="0.25">
      <c r="A28" s="3">
        <v>504</v>
      </c>
      <c r="B28" s="3" t="str" cm="1">
        <f t="array" ref="B28">INDEX(Teams!$A$1:$N$1,1,SUMPRODUCT((Teams!$A$2:$N$13=C28&amp;" "&amp;D28)*COLUMN(A:N)))</f>
        <v xml:space="preserve">  Xtreme</v>
      </c>
      <c r="C28" s="3" t="s">
        <v>114</v>
      </c>
      <c r="D28" s="3" t="s">
        <v>115</v>
      </c>
      <c r="E28" s="3" t="s">
        <v>92</v>
      </c>
      <c r="F28" s="3" t="s">
        <v>688</v>
      </c>
      <c r="G28" s="3" t="s">
        <v>688</v>
      </c>
      <c r="H28" s="3">
        <v>65</v>
      </c>
      <c r="I28" s="3">
        <v>64</v>
      </c>
      <c r="J28" s="3">
        <v>8</v>
      </c>
      <c r="K28" s="3">
        <v>162</v>
      </c>
      <c r="L28" s="3">
        <v>184</v>
      </c>
      <c r="M28" s="3">
        <v>88</v>
      </c>
      <c r="N28" s="4">
        <v>0.47799999999999998</v>
      </c>
      <c r="O28" s="3">
        <v>77</v>
      </c>
      <c r="P28" s="3">
        <v>84</v>
      </c>
      <c r="Q28" s="4">
        <v>0.316</v>
      </c>
      <c r="R28" s="4">
        <v>0.313</v>
      </c>
      <c r="S28" s="4">
        <v>0.29699999999999999</v>
      </c>
      <c r="T28" s="3">
        <v>124</v>
      </c>
      <c r="U28" s="3">
        <v>125</v>
      </c>
      <c r="V28" s="3">
        <v>115</v>
      </c>
      <c r="W28" s="3">
        <v>122.2</v>
      </c>
      <c r="X28" s="3" t="s">
        <v>32</v>
      </c>
      <c r="Y28" s="3" t="s">
        <v>33</v>
      </c>
      <c r="Z28" s="3">
        <v>100</v>
      </c>
      <c r="AA28" s="3">
        <v>1.5</v>
      </c>
      <c r="AB28" s="3">
        <v>1</v>
      </c>
      <c r="AC28" s="3">
        <v>0</v>
      </c>
      <c r="AD28" s="3">
        <v>1</v>
      </c>
      <c r="AE28" s="3">
        <f t="shared" si="0"/>
        <v>125.7</v>
      </c>
      <c r="AF28" s="3">
        <v>125.7</v>
      </c>
      <c r="AG28" s="3" t="s">
        <v>116</v>
      </c>
    </row>
    <row r="29" spans="1:33" s="3" customFormat="1" x14ac:dyDescent="0.25">
      <c r="A29" s="3">
        <v>574</v>
      </c>
      <c r="B29" s="3" t="str" cm="1">
        <f t="array" ref="B29">INDEX(Teams!$A$1:$N$1,1,SUMPRODUCT((Teams!$A$2:$N$13=C29&amp;" "&amp;D29)*COLUMN(A:N)))</f>
        <v xml:space="preserve">  Norsemen</v>
      </c>
      <c r="C29" s="3" t="s">
        <v>117</v>
      </c>
      <c r="D29" s="3" t="s">
        <v>118</v>
      </c>
      <c r="E29" s="3" t="s">
        <v>37</v>
      </c>
      <c r="F29" s="3" t="s">
        <v>420</v>
      </c>
      <c r="G29" s="3" t="s">
        <v>608</v>
      </c>
      <c r="H29" s="3">
        <v>56</v>
      </c>
      <c r="I29" s="3">
        <v>73</v>
      </c>
      <c r="J29" s="3">
        <v>9</v>
      </c>
      <c r="K29" s="3">
        <v>62</v>
      </c>
      <c r="L29" s="3">
        <v>86</v>
      </c>
      <c r="M29" s="3">
        <v>72.099999999999994</v>
      </c>
      <c r="N29" s="4">
        <v>0.46800000000000003</v>
      </c>
      <c r="O29" s="3">
        <v>29</v>
      </c>
      <c r="P29" s="3">
        <v>33</v>
      </c>
      <c r="Q29" s="4">
        <v>0.34200000000000003</v>
      </c>
      <c r="R29" s="4">
        <v>0.26600000000000001</v>
      </c>
      <c r="S29" s="4">
        <v>0.21299999999999999</v>
      </c>
      <c r="T29" s="3">
        <v>134</v>
      </c>
      <c r="U29" s="3">
        <v>106</v>
      </c>
      <c r="V29" s="3">
        <v>82</v>
      </c>
      <c r="W29" s="3">
        <v>115.3</v>
      </c>
      <c r="X29" s="3" t="s">
        <v>32</v>
      </c>
      <c r="Y29" s="3" t="s">
        <v>33</v>
      </c>
      <c r="Z29" s="3">
        <v>97.5</v>
      </c>
      <c r="AA29" s="3">
        <v>4</v>
      </c>
      <c r="AB29" s="3">
        <v>5</v>
      </c>
      <c r="AC29" s="3">
        <v>0</v>
      </c>
      <c r="AD29" s="3">
        <v>0</v>
      </c>
      <c r="AE29" s="3">
        <f t="shared" si="0"/>
        <v>124.3</v>
      </c>
      <c r="AF29" s="3">
        <v>124.3</v>
      </c>
      <c r="AG29" s="3" t="s">
        <v>119</v>
      </c>
    </row>
    <row r="30" spans="1:33" s="3" customFormat="1" x14ac:dyDescent="0.25">
      <c r="A30" s="3">
        <v>412</v>
      </c>
      <c r="B30" s="3" t="str" cm="1">
        <f t="array" ref="B30">INDEX(Teams!$A$1:$N$1,1,SUMPRODUCT((Teams!$A$2:$N$13=C30&amp;" "&amp;D30)*COLUMN(A:N)))</f>
        <v>Lightning Strikes</v>
      </c>
      <c r="C30" s="3" t="s">
        <v>120</v>
      </c>
      <c r="D30" s="3" t="s">
        <v>121</v>
      </c>
      <c r="E30" s="3" t="s">
        <v>77</v>
      </c>
      <c r="F30" s="3" t="s">
        <v>420</v>
      </c>
      <c r="G30" s="3" t="s">
        <v>31</v>
      </c>
      <c r="H30" s="3">
        <v>64</v>
      </c>
      <c r="I30" s="3">
        <v>77</v>
      </c>
      <c r="J30" s="3">
        <v>6</v>
      </c>
      <c r="K30" s="3">
        <v>159</v>
      </c>
      <c r="L30" s="3">
        <v>174</v>
      </c>
      <c r="M30" s="3">
        <v>91.4</v>
      </c>
      <c r="N30" s="4">
        <v>0.50900000000000001</v>
      </c>
      <c r="O30" s="3">
        <v>81</v>
      </c>
      <c r="P30" s="3">
        <v>78</v>
      </c>
      <c r="Q30" s="4">
        <v>0.27400000000000002</v>
      </c>
      <c r="S30" s="4">
        <v>0.34</v>
      </c>
      <c r="T30" s="3">
        <v>107</v>
      </c>
      <c r="V30" s="3">
        <v>131</v>
      </c>
      <c r="W30" s="3">
        <v>113.9</v>
      </c>
      <c r="X30" s="3" t="s">
        <v>56</v>
      </c>
      <c r="Y30" s="3" t="s">
        <v>33</v>
      </c>
      <c r="Z30" s="3">
        <v>100</v>
      </c>
      <c r="AA30" s="3">
        <v>4</v>
      </c>
      <c r="AB30" s="3">
        <v>3</v>
      </c>
      <c r="AC30" s="3">
        <v>0</v>
      </c>
      <c r="AD30" s="3">
        <v>2</v>
      </c>
      <c r="AE30" s="3">
        <f t="shared" si="0"/>
        <v>122.9</v>
      </c>
      <c r="AF30" s="3">
        <v>122.9</v>
      </c>
      <c r="AG30" s="3" t="s">
        <v>122</v>
      </c>
    </row>
    <row r="31" spans="1:33" s="3" customFormat="1" x14ac:dyDescent="0.25">
      <c r="A31" s="3">
        <v>585</v>
      </c>
      <c r="B31" s="3" t="str" cm="1">
        <f t="array" ref="B31">INDEX(Teams!$A$1:$N$1,1,SUMPRODUCT((Teams!$A$2:$N$13=C31&amp;" "&amp;D31)*COLUMN(A:N)))</f>
        <v xml:space="preserve">Bearcats  </v>
      </c>
      <c r="C31" s="3" t="s">
        <v>123</v>
      </c>
      <c r="D31" s="3" t="s">
        <v>124</v>
      </c>
      <c r="E31" s="3" t="s">
        <v>31</v>
      </c>
      <c r="F31" s="3" t="s">
        <v>425</v>
      </c>
      <c r="G31" s="3" t="s">
        <v>425</v>
      </c>
      <c r="H31" s="3">
        <v>66</v>
      </c>
      <c r="I31" s="3">
        <v>91</v>
      </c>
      <c r="J31" s="3">
        <v>7</v>
      </c>
      <c r="K31" s="3">
        <v>39</v>
      </c>
      <c r="L31" s="3">
        <v>44</v>
      </c>
      <c r="M31" s="3">
        <v>88.6</v>
      </c>
      <c r="N31" s="4">
        <v>0.35899999999999999</v>
      </c>
      <c r="O31" s="3">
        <v>14</v>
      </c>
      <c r="P31" s="3">
        <v>25</v>
      </c>
      <c r="Q31" s="4">
        <v>0.30499999999999999</v>
      </c>
      <c r="S31" s="4">
        <v>0.29399999999999998</v>
      </c>
      <c r="T31" s="3">
        <v>119</v>
      </c>
      <c r="V31" s="3">
        <v>114</v>
      </c>
      <c r="W31" s="3">
        <v>117.2</v>
      </c>
      <c r="X31" s="3" t="s">
        <v>48</v>
      </c>
      <c r="Y31" s="3" t="s">
        <v>33</v>
      </c>
      <c r="Z31" s="3">
        <v>93.4</v>
      </c>
      <c r="AA31" s="3">
        <v>3.5</v>
      </c>
      <c r="AB31" s="3">
        <v>1</v>
      </c>
      <c r="AC31" s="3">
        <v>0</v>
      </c>
      <c r="AD31" s="3">
        <v>1</v>
      </c>
      <c r="AE31" s="3">
        <f t="shared" si="0"/>
        <v>122.7</v>
      </c>
      <c r="AF31" s="3">
        <v>122.7</v>
      </c>
      <c r="AG31" s="3" t="s">
        <v>125</v>
      </c>
    </row>
    <row r="32" spans="1:33" s="3" customFormat="1" x14ac:dyDescent="0.25">
      <c r="B32" s="3" t="str" cm="1">
        <f t="array" ref="B32">INDEX(Teams!$A$1:$N$1,1,SUMPRODUCT((Teams!$A$2:$N$13=C32&amp;" "&amp;D32)*COLUMN(A:N)))</f>
        <v xml:space="preserve">Bearcats  </v>
      </c>
      <c r="C32" s="3" t="s">
        <v>351</v>
      </c>
      <c r="D32" s="3" t="s">
        <v>406</v>
      </c>
      <c r="E32" s="3" t="s">
        <v>37</v>
      </c>
      <c r="F32" s="3" t="s">
        <v>420</v>
      </c>
      <c r="G32" s="3" t="s">
        <v>420</v>
      </c>
      <c r="I32" s="3" t="s">
        <v>396</v>
      </c>
      <c r="J32" s="3" t="s">
        <v>396</v>
      </c>
      <c r="K32" s="3">
        <v>0</v>
      </c>
      <c r="L32" s="3">
        <v>0</v>
      </c>
      <c r="O32" s="3">
        <v>0</v>
      </c>
      <c r="P32" s="3">
        <v>0</v>
      </c>
      <c r="Q32" s="3" t="s">
        <v>396</v>
      </c>
      <c r="Y32" s="3" t="s">
        <v>94</v>
      </c>
      <c r="Z32" s="3">
        <v>0</v>
      </c>
      <c r="AA32" s="3">
        <v>4</v>
      </c>
      <c r="AB32" s="3">
        <v>0</v>
      </c>
      <c r="AC32" s="3">
        <v>122</v>
      </c>
      <c r="AD32" s="3">
        <v>0</v>
      </c>
      <c r="AE32" s="3">
        <f t="shared" si="0"/>
        <v>122</v>
      </c>
      <c r="AG32" s="3" t="s">
        <v>407</v>
      </c>
    </row>
    <row r="33" spans="1:33" s="3" customFormat="1" x14ac:dyDescent="0.25">
      <c r="A33" s="3">
        <v>334</v>
      </c>
      <c r="B33" s="3" t="str" cm="1">
        <f t="array" ref="B33">INDEX(Teams!$A$1:$N$1,1,SUMPRODUCT((Teams!$A$2:$N$13=C33&amp;" "&amp;D33)*COLUMN(A:N)))</f>
        <v xml:space="preserve">  Wolverines</v>
      </c>
      <c r="C33" s="3" t="s">
        <v>123</v>
      </c>
      <c r="D33" s="3" t="s">
        <v>135</v>
      </c>
      <c r="E33" s="3" t="s">
        <v>136</v>
      </c>
      <c r="F33" s="3" t="s">
        <v>787</v>
      </c>
      <c r="G33" s="3" t="s">
        <v>787</v>
      </c>
      <c r="H33" s="3">
        <v>63</v>
      </c>
      <c r="I33" s="3">
        <v>88</v>
      </c>
      <c r="J33" s="3">
        <v>7</v>
      </c>
      <c r="K33" s="3">
        <v>358</v>
      </c>
      <c r="L33" s="3">
        <v>392</v>
      </c>
      <c r="M33" s="3">
        <v>91.3</v>
      </c>
      <c r="N33" s="4">
        <v>0.45300000000000001</v>
      </c>
      <c r="O33" s="3">
        <v>188</v>
      </c>
      <c r="P33" s="3">
        <v>227</v>
      </c>
      <c r="Q33" s="4">
        <v>0.315</v>
      </c>
      <c r="R33" s="4">
        <v>0.249</v>
      </c>
      <c r="S33" s="4">
        <v>0.26600000000000001</v>
      </c>
      <c r="T33" s="3">
        <v>123</v>
      </c>
      <c r="U33" s="3">
        <v>99</v>
      </c>
      <c r="V33" s="3">
        <v>103</v>
      </c>
      <c r="W33" s="3">
        <v>111.9</v>
      </c>
      <c r="X33" s="3" t="s">
        <v>32</v>
      </c>
      <c r="Y33" s="3" t="s">
        <v>33</v>
      </c>
      <c r="Z33" s="3">
        <v>100</v>
      </c>
      <c r="AA33" s="3">
        <v>2</v>
      </c>
      <c r="AB33" s="3">
        <v>3</v>
      </c>
      <c r="AC33" s="3">
        <v>2</v>
      </c>
      <c r="AD33" s="3">
        <v>2</v>
      </c>
      <c r="AE33" s="3">
        <f t="shared" si="0"/>
        <v>120.9</v>
      </c>
      <c r="AF33" s="3">
        <v>118.9</v>
      </c>
    </row>
    <row r="34" spans="1:33" s="3" customFormat="1" x14ac:dyDescent="0.25">
      <c r="A34" s="3">
        <v>378</v>
      </c>
      <c r="B34" s="3" t="str" cm="1">
        <f t="array" ref="B34">INDEX(Teams!$A$1:$N$1,1,SUMPRODUCT((Teams!$A$2:$N$13=C34&amp;" "&amp;D34)*COLUMN(A:N)))</f>
        <v>Bad News Bears</v>
      </c>
      <c r="C34" s="3" t="s">
        <v>126</v>
      </c>
      <c r="D34" s="3" t="s">
        <v>127</v>
      </c>
      <c r="E34" s="3" t="s">
        <v>37</v>
      </c>
      <c r="F34" s="3" t="s">
        <v>420</v>
      </c>
      <c r="G34" s="3" t="s">
        <v>420</v>
      </c>
      <c r="H34" s="3">
        <v>64</v>
      </c>
      <c r="I34" s="3">
        <v>86</v>
      </c>
      <c r="J34" s="3">
        <v>2</v>
      </c>
      <c r="K34" s="3">
        <v>206</v>
      </c>
      <c r="L34" s="3">
        <v>268</v>
      </c>
      <c r="M34" s="3">
        <v>76.900000000000006</v>
      </c>
      <c r="N34" s="4">
        <v>0.51</v>
      </c>
      <c r="O34" s="3">
        <v>105</v>
      </c>
      <c r="P34" s="3">
        <v>101</v>
      </c>
      <c r="Q34" s="4">
        <v>0.27100000000000002</v>
      </c>
      <c r="S34" s="4">
        <v>0.28399999999999997</v>
      </c>
      <c r="T34" s="3">
        <v>106</v>
      </c>
      <c r="V34" s="3">
        <v>110</v>
      </c>
      <c r="W34" s="3">
        <v>113.8</v>
      </c>
      <c r="X34" s="3" t="s">
        <v>56</v>
      </c>
      <c r="Y34" s="3" t="s">
        <v>33</v>
      </c>
      <c r="Z34" s="3">
        <v>97.5</v>
      </c>
      <c r="AA34" s="3">
        <v>4</v>
      </c>
      <c r="AB34" s="3">
        <v>3</v>
      </c>
      <c r="AC34" s="3">
        <v>0</v>
      </c>
      <c r="AD34" s="3">
        <v>0</v>
      </c>
      <c r="AE34" s="3">
        <f t="shared" ref="AE34:AE65" si="1">AF34+AC34</f>
        <v>120.8</v>
      </c>
      <c r="AF34" s="3">
        <v>120.8</v>
      </c>
      <c r="AG34" s="3" t="s">
        <v>128</v>
      </c>
    </row>
    <row r="35" spans="1:33" s="3" customFormat="1" x14ac:dyDescent="0.25">
      <c r="B35" s="3" t="str" cm="1">
        <f t="array" ref="B35">INDEX(Teams!$A$1:$N$1,1,SUMPRODUCT((Teams!$A$2:$N$13=C35&amp;" "&amp;D35)*COLUMN(A:N)))</f>
        <v xml:space="preserve">  Wolverines</v>
      </c>
      <c r="C35" s="3" t="s">
        <v>120</v>
      </c>
      <c r="D35" s="3" t="s">
        <v>408</v>
      </c>
      <c r="E35" s="3" t="s">
        <v>71</v>
      </c>
      <c r="F35" s="3" t="s">
        <v>649</v>
      </c>
      <c r="G35" s="3" t="s">
        <v>139</v>
      </c>
      <c r="I35" s="3" t="s">
        <v>396</v>
      </c>
      <c r="J35" s="3" t="s">
        <v>396</v>
      </c>
      <c r="K35" s="3">
        <v>0</v>
      </c>
      <c r="L35" s="3">
        <v>0</v>
      </c>
      <c r="O35" s="3">
        <v>0</v>
      </c>
      <c r="P35" s="3">
        <v>0</v>
      </c>
      <c r="Q35" s="3" t="s">
        <v>396</v>
      </c>
      <c r="Y35" s="3" t="s">
        <v>94</v>
      </c>
      <c r="Z35" s="3">
        <v>0</v>
      </c>
      <c r="AA35" s="3">
        <v>5</v>
      </c>
      <c r="AB35" s="3">
        <v>0</v>
      </c>
      <c r="AC35" s="3">
        <v>120</v>
      </c>
      <c r="AD35" s="3">
        <v>0</v>
      </c>
      <c r="AE35" s="3">
        <f t="shared" si="1"/>
        <v>120</v>
      </c>
      <c r="AG35" s="3" t="s">
        <v>409</v>
      </c>
    </row>
    <row r="36" spans="1:33" s="3" customFormat="1" x14ac:dyDescent="0.25">
      <c r="A36" s="3">
        <v>462</v>
      </c>
      <c r="B36" s="3" t="str" cm="1">
        <f t="array" ref="B36">INDEX(Teams!$A$1:$N$1,1,SUMPRODUCT((Teams!$A$2:$N$13=C36&amp;" "&amp;D36)*COLUMN(A:N)))</f>
        <v>Lightning Strikes</v>
      </c>
      <c r="C36" s="3" t="s">
        <v>129</v>
      </c>
      <c r="D36" s="3" t="s">
        <v>130</v>
      </c>
      <c r="E36" s="3" t="s">
        <v>71</v>
      </c>
      <c r="F36" s="3" t="s">
        <v>459</v>
      </c>
      <c r="G36" s="3" t="s">
        <v>459</v>
      </c>
      <c r="H36" s="3">
        <v>61</v>
      </c>
      <c r="I36" s="3">
        <v>57</v>
      </c>
      <c r="J36" s="3">
        <v>1</v>
      </c>
      <c r="K36" s="3">
        <v>173</v>
      </c>
      <c r="L36" s="3">
        <v>227</v>
      </c>
      <c r="M36" s="3">
        <v>76.2</v>
      </c>
      <c r="N36" s="4">
        <v>0.63</v>
      </c>
      <c r="O36" s="3">
        <v>109</v>
      </c>
      <c r="P36" s="3">
        <v>64</v>
      </c>
      <c r="Q36" s="4">
        <v>0.29299999999999998</v>
      </c>
      <c r="S36" s="4">
        <v>0.27300000000000002</v>
      </c>
      <c r="T36" s="3">
        <v>115</v>
      </c>
      <c r="V36" s="3">
        <v>105</v>
      </c>
      <c r="W36" s="3">
        <v>111.1</v>
      </c>
      <c r="X36" s="3" t="s">
        <v>56</v>
      </c>
      <c r="Y36" s="3" t="s">
        <v>33</v>
      </c>
      <c r="Z36" s="3">
        <v>100</v>
      </c>
      <c r="AA36" s="3">
        <v>5</v>
      </c>
      <c r="AB36" s="3">
        <v>3</v>
      </c>
      <c r="AC36" s="3">
        <v>0</v>
      </c>
      <c r="AD36" s="3">
        <v>0</v>
      </c>
      <c r="AE36" s="3">
        <f t="shared" si="1"/>
        <v>119.1</v>
      </c>
      <c r="AF36" s="3">
        <v>119.1</v>
      </c>
      <c r="AG36" s="3" t="s">
        <v>131</v>
      </c>
    </row>
    <row r="37" spans="1:33" s="3" customFormat="1" x14ac:dyDescent="0.25">
      <c r="A37" s="3">
        <v>588</v>
      </c>
      <c r="B37" s="3" t="str" cm="1">
        <f t="array" ref="B37">INDEX(Teams!$A$1:$N$1,1,SUMPRODUCT((Teams!$A$2:$N$13=C37&amp;" "&amp;D37)*COLUMN(A:N)))</f>
        <v xml:space="preserve">Tigers   </v>
      </c>
      <c r="C37" s="3" t="s">
        <v>132</v>
      </c>
      <c r="D37" s="3" t="s">
        <v>133</v>
      </c>
      <c r="E37" s="3" t="s">
        <v>77</v>
      </c>
      <c r="F37" s="3" t="s">
        <v>420</v>
      </c>
      <c r="G37" s="3" t="s">
        <v>92</v>
      </c>
      <c r="H37" s="3">
        <v>60</v>
      </c>
      <c r="I37" s="3">
        <v>58</v>
      </c>
      <c r="J37" s="3">
        <v>4</v>
      </c>
      <c r="K37" s="3">
        <v>32</v>
      </c>
      <c r="L37" s="3">
        <v>44</v>
      </c>
      <c r="M37" s="3">
        <v>72.7</v>
      </c>
      <c r="N37" s="4">
        <v>0.65600000000000003</v>
      </c>
      <c r="O37" s="3">
        <v>21</v>
      </c>
      <c r="P37" s="3">
        <v>11</v>
      </c>
      <c r="Q37" s="4">
        <v>0.28799999999999998</v>
      </c>
      <c r="S37" s="4">
        <v>0.28699999999999998</v>
      </c>
      <c r="T37" s="3">
        <v>113</v>
      </c>
      <c r="V37" s="3">
        <v>111</v>
      </c>
      <c r="W37" s="3">
        <v>112</v>
      </c>
      <c r="X37" s="3" t="s">
        <v>48</v>
      </c>
      <c r="Y37" s="3" t="s">
        <v>49</v>
      </c>
      <c r="Z37" s="3">
        <v>85.9</v>
      </c>
      <c r="AA37" s="3">
        <v>4</v>
      </c>
      <c r="AB37" s="3">
        <v>3</v>
      </c>
      <c r="AC37" s="3">
        <v>0</v>
      </c>
      <c r="AD37" s="3">
        <v>0</v>
      </c>
      <c r="AE37" s="3">
        <f t="shared" si="1"/>
        <v>119</v>
      </c>
      <c r="AF37" s="3">
        <v>119</v>
      </c>
      <c r="AG37" s="3" t="s">
        <v>134</v>
      </c>
    </row>
    <row r="38" spans="1:33" s="3" customFormat="1" x14ac:dyDescent="0.25">
      <c r="B38" s="3" t="str" cm="1">
        <f t="array" ref="B38">INDEX(Teams!$A$1:$N$1,1,SUMPRODUCT((Teams!$A$2:$N$13=C38&amp;" "&amp;D38)*COLUMN(A:N)))</f>
        <v xml:space="preserve">  Wolverines</v>
      </c>
      <c r="C38" s="3" t="s">
        <v>399</v>
      </c>
      <c r="D38" s="3" t="s">
        <v>170</v>
      </c>
      <c r="E38" s="3" t="s">
        <v>71</v>
      </c>
      <c r="F38" s="3" t="s">
        <v>492</v>
      </c>
      <c r="G38" s="3" t="s">
        <v>42</v>
      </c>
      <c r="I38" s="3" t="s">
        <v>396</v>
      </c>
      <c r="J38" s="3" t="s">
        <v>396</v>
      </c>
      <c r="K38" s="3">
        <v>0</v>
      </c>
      <c r="L38" s="3">
        <v>0</v>
      </c>
      <c r="O38" s="3">
        <v>0</v>
      </c>
      <c r="P38" s="3">
        <v>0</v>
      </c>
      <c r="Q38" s="3" t="s">
        <v>396</v>
      </c>
      <c r="Y38" s="3" t="s">
        <v>94</v>
      </c>
      <c r="Z38" s="3">
        <v>0</v>
      </c>
      <c r="AA38" s="3">
        <v>5</v>
      </c>
      <c r="AB38" s="3">
        <v>0</v>
      </c>
      <c r="AC38" s="3">
        <v>119</v>
      </c>
      <c r="AD38" s="3">
        <v>0</v>
      </c>
      <c r="AE38" s="3">
        <f t="shared" si="1"/>
        <v>119</v>
      </c>
      <c r="AG38" s="3" t="s">
        <v>400</v>
      </c>
    </row>
    <row r="39" spans="1:33" x14ac:dyDescent="0.25">
      <c r="A39" s="5">
        <v>233</v>
      </c>
      <c r="B39" s="3" t="str" cm="1">
        <f t="array" ref="B39">INDEX(Teams!$A$1:$N$1,1,SUMPRODUCT((Teams!$A$2:$N$13=C39&amp;" "&amp;D39)*COLUMN(A:N)))</f>
        <v>DEATHSTARS .</v>
      </c>
      <c r="C39" s="5" t="s">
        <v>141</v>
      </c>
      <c r="D39" s="5" t="s">
        <v>142</v>
      </c>
      <c r="E39" s="5" t="s">
        <v>143</v>
      </c>
      <c r="F39" s="5" t="s">
        <v>420</v>
      </c>
      <c r="G39" s="5" t="s">
        <v>31</v>
      </c>
      <c r="H39" s="5">
        <v>68</v>
      </c>
      <c r="I39" s="5">
        <v>86</v>
      </c>
      <c r="J39" s="5">
        <v>0</v>
      </c>
      <c r="K39" s="5">
        <v>367</v>
      </c>
      <c r="L39" s="5">
        <v>390</v>
      </c>
      <c r="M39" s="5">
        <v>94.1</v>
      </c>
      <c r="N39" s="6">
        <v>0.58099999999999996</v>
      </c>
      <c r="O39" s="5">
        <v>323</v>
      </c>
      <c r="P39" s="5">
        <v>233</v>
      </c>
      <c r="Q39" s="6">
        <v>0.3</v>
      </c>
      <c r="R39" s="6">
        <v>0.27500000000000002</v>
      </c>
      <c r="S39" s="6">
        <v>0.28699999999999998</v>
      </c>
      <c r="T39" s="5">
        <v>117</v>
      </c>
      <c r="U39" s="5">
        <v>110</v>
      </c>
      <c r="V39" s="5">
        <v>111</v>
      </c>
      <c r="W39" s="5">
        <v>113.8</v>
      </c>
      <c r="X39" s="5" t="s">
        <v>32</v>
      </c>
      <c r="Y39" s="5" t="s">
        <v>33</v>
      </c>
      <c r="Z39" s="5">
        <v>100</v>
      </c>
      <c r="AA39" s="5">
        <v>1.5</v>
      </c>
      <c r="AB39" s="5">
        <v>1</v>
      </c>
      <c r="AC39" s="5">
        <v>0</v>
      </c>
      <c r="AD39" s="5">
        <v>2</v>
      </c>
      <c r="AE39" s="5">
        <f t="shared" si="1"/>
        <v>118.3</v>
      </c>
      <c r="AF39" s="5">
        <v>118.3</v>
      </c>
      <c r="AG39" s="5" t="s">
        <v>144</v>
      </c>
    </row>
    <row r="40" spans="1:33" x14ac:dyDescent="0.25">
      <c r="A40" s="5">
        <v>428</v>
      </c>
      <c r="B40" s="3" t="str" cm="1">
        <f t="array" ref="B40">INDEX(Teams!$A$1:$N$1,1,SUMPRODUCT((Teams!$A$2:$N$13=C40&amp;" "&amp;D40)*COLUMN(A:N)))</f>
        <v xml:space="preserve">Tigers   </v>
      </c>
      <c r="C40" s="5" t="s">
        <v>145</v>
      </c>
      <c r="D40" s="5" t="s">
        <v>146</v>
      </c>
      <c r="E40" s="5" t="s">
        <v>37</v>
      </c>
      <c r="F40" s="5" t="s">
        <v>749</v>
      </c>
      <c r="G40" s="5" t="s">
        <v>420</v>
      </c>
      <c r="H40" s="5">
        <v>54</v>
      </c>
      <c r="I40" s="5">
        <v>80</v>
      </c>
      <c r="J40" s="5">
        <v>1</v>
      </c>
      <c r="K40" s="5">
        <v>219</v>
      </c>
      <c r="L40" s="5">
        <v>245</v>
      </c>
      <c r="M40" s="5">
        <v>89.4</v>
      </c>
      <c r="N40" s="6">
        <v>0.56200000000000006</v>
      </c>
      <c r="O40" s="5">
        <v>123</v>
      </c>
      <c r="P40" s="5">
        <v>96</v>
      </c>
      <c r="Q40" s="6">
        <v>0.29399999999999998</v>
      </c>
      <c r="R40" s="5"/>
      <c r="S40" s="6">
        <v>0.28699999999999998</v>
      </c>
      <c r="T40" s="5">
        <v>115</v>
      </c>
      <c r="U40" s="5"/>
      <c r="V40" s="5">
        <v>111</v>
      </c>
      <c r="W40" s="5">
        <v>108.3</v>
      </c>
      <c r="X40" s="5" t="s">
        <v>56</v>
      </c>
      <c r="Y40" s="5" t="s">
        <v>33</v>
      </c>
      <c r="Z40" s="5">
        <v>100</v>
      </c>
      <c r="AA40" s="5">
        <v>4</v>
      </c>
      <c r="AB40" s="5">
        <v>5</v>
      </c>
      <c r="AC40" s="5">
        <v>0</v>
      </c>
      <c r="AD40" s="5">
        <v>1</v>
      </c>
      <c r="AE40" s="5">
        <f t="shared" si="1"/>
        <v>118.3</v>
      </c>
      <c r="AF40" s="5">
        <v>118.3</v>
      </c>
      <c r="AG40" s="5" t="s">
        <v>147</v>
      </c>
    </row>
    <row r="41" spans="1:33" s="3" customFormat="1" x14ac:dyDescent="0.25">
      <c r="A41" s="3">
        <v>126</v>
      </c>
      <c r="B41" s="3" t="str" cm="1">
        <f t="array" ref="B41">INDEX(Teams!$A$1:$N$1,1,SUMPRODUCT((Teams!$A$2:$N$13=C41&amp;" "&amp;D41)*COLUMN(A:N)))</f>
        <v xml:space="preserve">Rebels  </v>
      </c>
      <c r="C41" s="3" t="s">
        <v>54</v>
      </c>
      <c r="D41" s="3" t="s">
        <v>148</v>
      </c>
      <c r="E41" s="3" t="s">
        <v>77</v>
      </c>
      <c r="F41" s="3" t="s">
        <v>420</v>
      </c>
      <c r="G41" s="3" t="s">
        <v>139</v>
      </c>
      <c r="H41" s="3">
        <v>71</v>
      </c>
      <c r="I41" s="3">
        <v>65</v>
      </c>
      <c r="J41" s="3">
        <v>0</v>
      </c>
      <c r="K41" s="3">
        <v>325</v>
      </c>
      <c r="L41" s="3">
        <v>395</v>
      </c>
      <c r="M41" s="3">
        <v>82.3</v>
      </c>
      <c r="N41" s="4">
        <v>0.52100000000000002</v>
      </c>
      <c r="O41" s="3">
        <v>263</v>
      </c>
      <c r="P41" s="3">
        <v>242</v>
      </c>
      <c r="Q41" s="4">
        <v>0.29399999999999998</v>
      </c>
      <c r="R41" s="4">
        <v>0.29499999999999998</v>
      </c>
      <c r="S41" s="4">
        <v>0.26400000000000001</v>
      </c>
      <c r="T41" s="3">
        <v>115</v>
      </c>
      <c r="U41" s="3">
        <v>118</v>
      </c>
      <c r="V41" s="3">
        <v>102</v>
      </c>
      <c r="W41" s="3">
        <v>113.1</v>
      </c>
      <c r="X41" s="3" t="s">
        <v>32</v>
      </c>
      <c r="Y41" s="3" t="s">
        <v>33</v>
      </c>
      <c r="Z41" s="3">
        <v>100</v>
      </c>
      <c r="AA41" s="3">
        <v>4</v>
      </c>
      <c r="AB41" s="3">
        <v>0</v>
      </c>
      <c r="AC41" s="3">
        <v>0</v>
      </c>
      <c r="AD41" s="3">
        <v>1</v>
      </c>
      <c r="AE41" s="3">
        <f t="shared" si="1"/>
        <v>118.1</v>
      </c>
      <c r="AF41" s="3">
        <v>118.1</v>
      </c>
      <c r="AG41" s="3" t="s">
        <v>149</v>
      </c>
    </row>
    <row r="42" spans="1:33" s="3" customFormat="1" x14ac:dyDescent="0.25">
      <c r="A42" s="3">
        <v>383</v>
      </c>
      <c r="B42" s="3" t="str" cm="1">
        <f t="array" ref="B42">INDEX(Teams!$A$1:$N$1,1,SUMPRODUCT((Teams!$A$2:$N$13=C42&amp;" "&amp;D42)*COLUMN(A:N)))</f>
        <v xml:space="preserve">  Buckeyes</v>
      </c>
      <c r="C42" s="3" t="s">
        <v>66</v>
      </c>
      <c r="D42" s="3" t="s">
        <v>150</v>
      </c>
      <c r="E42" s="3" t="s">
        <v>37</v>
      </c>
      <c r="F42" s="3" t="s">
        <v>420</v>
      </c>
      <c r="G42" s="3" t="s">
        <v>420</v>
      </c>
      <c r="H42" s="3">
        <v>60</v>
      </c>
      <c r="I42" s="3">
        <v>69</v>
      </c>
      <c r="J42" s="3">
        <v>2</v>
      </c>
      <c r="K42" s="3">
        <v>177</v>
      </c>
      <c r="L42" s="3">
        <v>231</v>
      </c>
      <c r="M42" s="3">
        <v>76.599999999999994</v>
      </c>
      <c r="N42" s="4">
        <v>0.56499999999999995</v>
      </c>
      <c r="O42" s="3">
        <v>100</v>
      </c>
      <c r="P42" s="3">
        <v>77</v>
      </c>
      <c r="Q42" s="4">
        <v>0.29899999999999999</v>
      </c>
      <c r="S42" s="4">
        <v>0.29799999999999999</v>
      </c>
      <c r="T42" s="3">
        <v>117</v>
      </c>
      <c r="V42" s="3">
        <v>115</v>
      </c>
      <c r="W42" s="3">
        <v>110.7</v>
      </c>
      <c r="X42" s="3" t="s">
        <v>56</v>
      </c>
      <c r="Y42" s="3" t="s">
        <v>33</v>
      </c>
      <c r="Z42" s="3">
        <v>100</v>
      </c>
      <c r="AA42" s="3">
        <v>4</v>
      </c>
      <c r="AB42" s="3">
        <v>3</v>
      </c>
      <c r="AC42" s="3">
        <v>0</v>
      </c>
      <c r="AD42" s="3">
        <v>0</v>
      </c>
      <c r="AE42" s="3">
        <f t="shared" si="1"/>
        <v>117.7</v>
      </c>
      <c r="AF42" s="3">
        <v>117.7</v>
      </c>
      <c r="AG42" s="3" t="s">
        <v>151</v>
      </c>
    </row>
    <row r="43" spans="1:33" s="3" customFormat="1" x14ac:dyDescent="0.25">
      <c r="A43" s="3">
        <v>484</v>
      </c>
      <c r="B43" s="3" t="str" cm="1">
        <f t="array" ref="B43">INDEX(Teams!$A$1:$N$1,1,SUMPRODUCT((Teams!$A$2:$N$13=C43&amp;" "&amp;D43)*COLUMN(A:N)))</f>
        <v xml:space="preserve">Tigers   </v>
      </c>
      <c r="C43" s="3" t="s">
        <v>152</v>
      </c>
      <c r="D43" s="3" t="s">
        <v>153</v>
      </c>
      <c r="E43" s="3" t="s">
        <v>37</v>
      </c>
      <c r="F43" s="3" t="s">
        <v>438</v>
      </c>
      <c r="G43" s="3" t="s">
        <v>459</v>
      </c>
      <c r="H43" s="3">
        <v>70</v>
      </c>
      <c r="I43" s="3">
        <v>0</v>
      </c>
      <c r="J43" s="3">
        <v>0</v>
      </c>
      <c r="K43" s="3">
        <v>95</v>
      </c>
      <c r="L43" s="3">
        <v>143</v>
      </c>
      <c r="M43" s="3">
        <v>66.400000000000006</v>
      </c>
      <c r="N43" s="4">
        <v>0.53700000000000003</v>
      </c>
      <c r="O43" s="3">
        <v>51</v>
      </c>
      <c r="P43" s="3">
        <v>44</v>
      </c>
      <c r="Q43" s="4">
        <v>0</v>
      </c>
      <c r="S43" s="4">
        <v>0.34799999999999998</v>
      </c>
      <c r="T43" s="3">
        <v>0</v>
      </c>
      <c r="V43" s="3">
        <v>134</v>
      </c>
      <c r="W43" s="3">
        <v>115.5</v>
      </c>
      <c r="X43" s="3" t="s">
        <v>106</v>
      </c>
      <c r="Y43" s="3" t="s">
        <v>33</v>
      </c>
      <c r="Z43" s="3">
        <v>90</v>
      </c>
      <c r="AA43" s="3">
        <v>4</v>
      </c>
      <c r="AB43" s="3">
        <v>0</v>
      </c>
      <c r="AC43" s="3">
        <v>0</v>
      </c>
      <c r="AD43" s="3">
        <v>-2</v>
      </c>
      <c r="AE43" s="3">
        <f t="shared" si="1"/>
        <v>117.5</v>
      </c>
      <c r="AF43" s="3">
        <v>117.5</v>
      </c>
      <c r="AG43" s="3" t="s">
        <v>154</v>
      </c>
    </row>
    <row r="44" spans="1:33" s="3" customFormat="1" x14ac:dyDescent="0.25">
      <c r="A44" s="3">
        <v>159</v>
      </c>
      <c r="B44" s="3" t="str" cm="1">
        <f t="array" ref="B44">INDEX(Teams!$A$1:$N$1,1,SUMPRODUCT((Teams!$A$2:$N$13=C44&amp;" "&amp;D44)*COLUMN(A:N)))</f>
        <v>DEATHSTARS .</v>
      </c>
      <c r="C44" s="3" t="s">
        <v>155</v>
      </c>
      <c r="D44" s="3" t="s">
        <v>156</v>
      </c>
      <c r="E44" s="3" t="s">
        <v>31</v>
      </c>
      <c r="F44" s="3" t="s">
        <v>31</v>
      </c>
      <c r="G44" s="3" t="s">
        <v>71</v>
      </c>
      <c r="H44" s="3">
        <v>65</v>
      </c>
      <c r="I44" s="3">
        <v>50</v>
      </c>
      <c r="J44" s="3">
        <v>1</v>
      </c>
      <c r="K44" s="3">
        <v>253</v>
      </c>
      <c r="L44" s="3">
        <v>363</v>
      </c>
      <c r="M44" s="3">
        <v>69.7</v>
      </c>
      <c r="N44" s="4">
        <v>0.46200000000000002</v>
      </c>
      <c r="O44" s="3">
        <v>228</v>
      </c>
      <c r="P44" s="3">
        <v>266</v>
      </c>
      <c r="Q44" s="4">
        <v>0.3</v>
      </c>
      <c r="R44" s="4">
        <v>0.32500000000000001</v>
      </c>
      <c r="S44" s="4">
        <v>0.22500000000000001</v>
      </c>
      <c r="T44" s="3">
        <v>117</v>
      </c>
      <c r="U44" s="3">
        <v>129</v>
      </c>
      <c r="V44" s="3">
        <v>87</v>
      </c>
      <c r="W44" s="3">
        <v>114.9</v>
      </c>
      <c r="X44" s="3" t="s">
        <v>32</v>
      </c>
      <c r="Y44" s="3" t="s">
        <v>33</v>
      </c>
      <c r="Z44" s="3">
        <v>97.5</v>
      </c>
      <c r="AA44" s="3">
        <v>3.5</v>
      </c>
      <c r="AB44" s="3">
        <v>1</v>
      </c>
      <c r="AC44" s="3">
        <v>0</v>
      </c>
      <c r="AD44" s="3">
        <v>-2</v>
      </c>
      <c r="AE44" s="3">
        <f t="shared" si="1"/>
        <v>117.4</v>
      </c>
      <c r="AF44" s="3">
        <v>117.4</v>
      </c>
      <c r="AG44" s="3" t="s">
        <v>157</v>
      </c>
    </row>
    <row r="45" spans="1:33" s="3" customFormat="1" x14ac:dyDescent="0.25">
      <c r="A45" s="3">
        <v>565</v>
      </c>
      <c r="B45" s="3" t="str" cm="1">
        <f t="array" ref="B45">INDEX(Teams!$A$1:$N$1,1,SUMPRODUCT((Teams!$A$2:$N$13=C45&amp;" "&amp;D45)*COLUMN(A:N)))</f>
        <v xml:space="preserve">  Buckeyes</v>
      </c>
      <c r="C45" s="3" t="s">
        <v>158</v>
      </c>
      <c r="D45" s="3" t="s">
        <v>88</v>
      </c>
      <c r="E45" s="3" t="s">
        <v>37</v>
      </c>
      <c r="F45" s="3" t="s">
        <v>420</v>
      </c>
      <c r="G45" s="3" t="s">
        <v>420</v>
      </c>
      <c r="H45" s="3">
        <v>67</v>
      </c>
      <c r="I45" s="3">
        <v>72</v>
      </c>
      <c r="J45" s="3">
        <v>11</v>
      </c>
      <c r="K45" s="3">
        <v>48</v>
      </c>
      <c r="L45" s="3">
        <v>66</v>
      </c>
      <c r="M45" s="3">
        <v>72.7</v>
      </c>
      <c r="N45" s="4">
        <v>0.54200000000000004</v>
      </c>
      <c r="O45" s="3">
        <v>26</v>
      </c>
      <c r="P45" s="3">
        <v>22</v>
      </c>
      <c r="Q45" s="4">
        <v>0.28100000000000003</v>
      </c>
      <c r="S45" s="4">
        <v>0.30099999999999999</v>
      </c>
      <c r="T45" s="3">
        <v>110</v>
      </c>
      <c r="V45" s="3">
        <v>116</v>
      </c>
      <c r="W45" s="3">
        <v>112.3</v>
      </c>
      <c r="X45" s="3" t="s">
        <v>56</v>
      </c>
      <c r="Y45" s="3" t="s">
        <v>33</v>
      </c>
      <c r="Z45" s="3">
        <v>100</v>
      </c>
      <c r="AA45" s="3">
        <v>4</v>
      </c>
      <c r="AB45" s="3">
        <v>1</v>
      </c>
      <c r="AC45" s="3">
        <v>0</v>
      </c>
      <c r="AD45" s="3">
        <v>0</v>
      </c>
      <c r="AE45" s="3">
        <f t="shared" si="1"/>
        <v>117.3</v>
      </c>
      <c r="AF45" s="3">
        <v>117.3</v>
      </c>
      <c r="AG45" s="3" t="s">
        <v>159</v>
      </c>
    </row>
    <row r="46" spans="1:33" s="3" customFormat="1" x14ac:dyDescent="0.25">
      <c r="A46" s="3">
        <v>229</v>
      </c>
      <c r="B46" s="3" t="str" cm="1">
        <f t="array" ref="B46">INDEX(Teams!$A$1:$N$1,1,SUMPRODUCT((Teams!$A$2:$N$13=C46&amp;" "&amp;D46)*COLUMN(A:N)))</f>
        <v xml:space="preserve">Gunslingers  </v>
      </c>
      <c r="C46" s="3" t="s">
        <v>66</v>
      </c>
      <c r="D46" s="3" t="s">
        <v>168</v>
      </c>
      <c r="E46" s="3" t="s">
        <v>47</v>
      </c>
      <c r="F46" s="3" t="s">
        <v>420</v>
      </c>
      <c r="G46" s="3" t="s">
        <v>92</v>
      </c>
      <c r="H46" s="3">
        <v>69</v>
      </c>
      <c r="I46" s="3">
        <v>82</v>
      </c>
      <c r="J46" s="3">
        <v>0</v>
      </c>
      <c r="K46" s="3">
        <v>347</v>
      </c>
      <c r="L46" s="3">
        <v>403</v>
      </c>
      <c r="M46" s="3">
        <v>86.1</v>
      </c>
      <c r="N46" s="4">
        <v>0.54500000000000004</v>
      </c>
      <c r="O46" s="3">
        <v>212</v>
      </c>
      <c r="P46" s="3">
        <v>177</v>
      </c>
      <c r="Q46" s="4">
        <v>0.27400000000000002</v>
      </c>
      <c r="S46" s="4">
        <v>0.29799999999999999</v>
      </c>
      <c r="T46" s="3">
        <v>107</v>
      </c>
      <c r="V46" s="3">
        <v>115</v>
      </c>
      <c r="W46" s="3">
        <v>111.7</v>
      </c>
      <c r="X46" s="3" t="s">
        <v>56</v>
      </c>
      <c r="Y46" s="3" t="s">
        <v>33</v>
      </c>
      <c r="Z46" s="3">
        <v>100</v>
      </c>
      <c r="AA46" s="3">
        <v>2.5</v>
      </c>
      <c r="AB46" s="3">
        <v>1</v>
      </c>
      <c r="AC46" s="3">
        <v>1</v>
      </c>
      <c r="AD46" s="3">
        <v>1</v>
      </c>
      <c r="AE46" s="3">
        <f t="shared" si="1"/>
        <v>117.2</v>
      </c>
      <c r="AF46" s="3">
        <v>116.2</v>
      </c>
    </row>
    <row r="47" spans="1:33" s="3" customFormat="1" x14ac:dyDescent="0.25">
      <c r="A47" s="3">
        <v>597</v>
      </c>
      <c r="B47" s="3" t="str" cm="1">
        <f t="array" ref="B47">INDEX(Teams!$A$1:$N$1,1,SUMPRODUCT((Teams!$A$2:$N$13=C47&amp;" "&amp;D47)*COLUMN(A:N)))</f>
        <v>Big Dawgs</v>
      </c>
      <c r="C47" s="3" t="s">
        <v>160</v>
      </c>
      <c r="D47" s="3" t="s">
        <v>161</v>
      </c>
      <c r="E47" s="3" t="s">
        <v>31</v>
      </c>
      <c r="F47" s="3" t="s">
        <v>746</v>
      </c>
      <c r="G47" s="3" t="s">
        <v>420</v>
      </c>
      <c r="H47" s="3">
        <v>59</v>
      </c>
      <c r="I47" s="3">
        <v>72</v>
      </c>
      <c r="J47" s="3">
        <v>5</v>
      </c>
      <c r="K47" s="3">
        <v>45</v>
      </c>
      <c r="L47" s="3">
        <v>64</v>
      </c>
      <c r="M47" s="3">
        <v>70.3</v>
      </c>
      <c r="N47" s="4">
        <v>0.68899999999999995</v>
      </c>
      <c r="O47" s="3">
        <v>31</v>
      </c>
      <c r="P47" s="3">
        <v>14</v>
      </c>
      <c r="Q47" s="4">
        <v>0.27300000000000002</v>
      </c>
      <c r="R47" s="4">
        <v>0.26700000000000002</v>
      </c>
      <c r="S47" s="4">
        <v>0.29799999999999999</v>
      </c>
      <c r="T47" s="3">
        <v>107</v>
      </c>
      <c r="U47" s="3">
        <v>106</v>
      </c>
      <c r="V47" s="3">
        <v>115</v>
      </c>
      <c r="W47" s="3">
        <v>108.4</v>
      </c>
      <c r="X47" s="3" t="s">
        <v>32</v>
      </c>
      <c r="Y47" s="3" t="s">
        <v>33</v>
      </c>
      <c r="Z47" s="3">
        <v>100</v>
      </c>
      <c r="AA47" s="3">
        <v>3.5</v>
      </c>
      <c r="AB47" s="3">
        <v>5</v>
      </c>
      <c r="AC47" s="3">
        <v>0</v>
      </c>
      <c r="AD47" s="3">
        <v>0</v>
      </c>
      <c r="AE47" s="3">
        <f t="shared" si="1"/>
        <v>116.9</v>
      </c>
      <c r="AF47" s="3">
        <v>116.9</v>
      </c>
      <c r="AG47" s="3" t="s">
        <v>162</v>
      </c>
    </row>
    <row r="48" spans="1:33" s="3" customFormat="1" x14ac:dyDescent="0.25">
      <c r="A48" s="3">
        <v>595</v>
      </c>
      <c r="B48" s="3" t="str" cm="1">
        <f t="array" ref="B48">INDEX(Teams!$A$1:$N$1,1,SUMPRODUCT((Teams!$A$2:$N$13=C48&amp;" "&amp;D48)*COLUMN(A:N)))</f>
        <v>Big Dawgs</v>
      </c>
      <c r="C48" s="3" t="s">
        <v>169</v>
      </c>
      <c r="D48" s="3" t="s">
        <v>170</v>
      </c>
      <c r="E48" s="3" t="s">
        <v>47</v>
      </c>
      <c r="F48" s="3" t="s">
        <v>420</v>
      </c>
      <c r="G48" s="3" t="s">
        <v>31</v>
      </c>
      <c r="H48" s="3">
        <v>62</v>
      </c>
      <c r="I48" s="3">
        <v>0</v>
      </c>
      <c r="J48" s="3">
        <v>0</v>
      </c>
      <c r="K48" s="3">
        <v>8</v>
      </c>
      <c r="L48" s="3">
        <v>22</v>
      </c>
      <c r="M48" s="3">
        <v>36.4</v>
      </c>
      <c r="N48" s="4">
        <v>0.25</v>
      </c>
      <c r="O48" s="3">
        <v>2</v>
      </c>
      <c r="P48" s="3">
        <v>6</v>
      </c>
      <c r="Q48" s="4">
        <v>0</v>
      </c>
      <c r="S48" s="4">
        <v>0.29599999999999999</v>
      </c>
      <c r="T48" s="3">
        <v>0</v>
      </c>
      <c r="V48" s="3">
        <v>114</v>
      </c>
      <c r="W48" s="3">
        <v>114.4</v>
      </c>
      <c r="X48" s="3" t="s">
        <v>102</v>
      </c>
      <c r="Y48" s="3" t="s">
        <v>86</v>
      </c>
      <c r="Z48" s="3">
        <v>61.6</v>
      </c>
      <c r="AA48" s="3">
        <v>2.5</v>
      </c>
      <c r="AB48" s="3">
        <v>3</v>
      </c>
      <c r="AC48" s="3">
        <v>1</v>
      </c>
      <c r="AD48" s="3">
        <v>-4</v>
      </c>
      <c r="AE48" s="3">
        <f t="shared" si="1"/>
        <v>116.9</v>
      </c>
      <c r="AF48" s="3">
        <v>115.9</v>
      </c>
      <c r="AG48" s="3" t="s">
        <v>171</v>
      </c>
    </row>
    <row r="49" spans="1:33" s="3" customFormat="1" x14ac:dyDescent="0.25">
      <c r="A49" s="3">
        <v>434</v>
      </c>
      <c r="B49" s="3" t="str" cm="1">
        <f t="array" ref="B49">INDEX(Teams!$A$1:$N$1,1,SUMPRODUCT((Teams!$A$2:$N$13=C49&amp;" "&amp;D49)*COLUMN(A:N)))</f>
        <v>Team USA</v>
      </c>
      <c r="C49" s="3" t="s">
        <v>112</v>
      </c>
      <c r="D49" s="3" t="s">
        <v>163</v>
      </c>
      <c r="E49" s="3" t="s">
        <v>47</v>
      </c>
      <c r="F49" s="3" t="s">
        <v>420</v>
      </c>
      <c r="G49" s="3" t="s">
        <v>420</v>
      </c>
      <c r="H49" s="3">
        <v>69</v>
      </c>
      <c r="I49" s="3">
        <v>26</v>
      </c>
      <c r="J49" s="3">
        <v>1</v>
      </c>
      <c r="K49" s="3">
        <v>102</v>
      </c>
      <c r="L49" s="3">
        <v>185</v>
      </c>
      <c r="M49" s="3">
        <v>55.1</v>
      </c>
      <c r="N49" s="4">
        <v>0.52900000000000003</v>
      </c>
      <c r="O49" s="3">
        <v>54</v>
      </c>
      <c r="P49" s="3">
        <v>48</v>
      </c>
      <c r="Q49" s="4">
        <v>0.30299999999999999</v>
      </c>
      <c r="S49" s="4">
        <v>0.32800000000000001</v>
      </c>
      <c r="T49" s="3">
        <v>118</v>
      </c>
      <c r="V49" s="3">
        <v>127</v>
      </c>
      <c r="W49" s="3">
        <v>117.3</v>
      </c>
      <c r="X49" s="3" t="s">
        <v>56</v>
      </c>
      <c r="Y49" s="3" t="s">
        <v>49</v>
      </c>
      <c r="Z49" s="3">
        <v>85</v>
      </c>
      <c r="AA49" s="3">
        <v>2.5</v>
      </c>
      <c r="AB49" s="3">
        <v>1</v>
      </c>
      <c r="AC49" s="3">
        <v>0</v>
      </c>
      <c r="AD49" s="3">
        <v>-4</v>
      </c>
      <c r="AE49" s="3">
        <f t="shared" si="1"/>
        <v>116.8</v>
      </c>
      <c r="AF49" s="3">
        <v>116.8</v>
      </c>
      <c r="AG49" s="3" t="s">
        <v>164</v>
      </c>
    </row>
    <row r="50" spans="1:33" s="3" customFormat="1" x14ac:dyDescent="0.25">
      <c r="A50" s="3">
        <v>373</v>
      </c>
      <c r="B50" s="3" t="str" cm="1">
        <f t="array" ref="B50">INDEX(Teams!$A$1:$N$1,1,SUMPRODUCT((Teams!$A$2:$N$13=C50&amp;" "&amp;D50)*COLUMN(A:N)))</f>
        <v>DEATHSTARS .</v>
      </c>
      <c r="C50" s="3" t="s">
        <v>165</v>
      </c>
      <c r="D50" s="3" t="s">
        <v>166</v>
      </c>
      <c r="E50" s="3" t="s">
        <v>139</v>
      </c>
      <c r="F50" s="3" t="s">
        <v>568</v>
      </c>
      <c r="G50" s="3" t="s">
        <v>569</v>
      </c>
      <c r="H50" s="3">
        <v>60</v>
      </c>
      <c r="I50" s="3">
        <v>90</v>
      </c>
      <c r="J50" s="3">
        <v>4</v>
      </c>
      <c r="K50" s="3">
        <v>317</v>
      </c>
      <c r="L50" s="3">
        <v>358</v>
      </c>
      <c r="M50" s="3">
        <v>88.5</v>
      </c>
      <c r="N50" s="4">
        <v>0.53</v>
      </c>
      <c r="O50" s="3">
        <v>168</v>
      </c>
      <c r="P50" s="3">
        <v>149</v>
      </c>
      <c r="Q50" s="4">
        <v>0.29099999999999998</v>
      </c>
      <c r="R50" s="4">
        <v>0.30499999999999999</v>
      </c>
      <c r="S50" s="4">
        <v>0.24099999999999999</v>
      </c>
      <c r="T50" s="3">
        <v>114</v>
      </c>
      <c r="U50" s="3">
        <v>122</v>
      </c>
      <c r="V50" s="3">
        <v>93</v>
      </c>
      <c r="W50" s="3">
        <v>112.1</v>
      </c>
      <c r="X50" s="3" t="s">
        <v>32</v>
      </c>
      <c r="Y50" s="3" t="s">
        <v>33</v>
      </c>
      <c r="Z50" s="3">
        <v>100</v>
      </c>
      <c r="AA50" s="3">
        <v>0.5</v>
      </c>
      <c r="AB50" s="3">
        <v>3</v>
      </c>
      <c r="AC50" s="3">
        <v>0</v>
      </c>
      <c r="AD50" s="3">
        <v>1</v>
      </c>
      <c r="AE50" s="3">
        <f t="shared" si="1"/>
        <v>116.6</v>
      </c>
      <c r="AF50" s="3">
        <v>116.6</v>
      </c>
      <c r="AG50" s="3" t="s">
        <v>167</v>
      </c>
    </row>
    <row r="51" spans="1:33" s="3" customFormat="1" x14ac:dyDescent="0.25">
      <c r="A51" s="3">
        <v>537</v>
      </c>
      <c r="B51" s="3" t="str" cm="1">
        <f t="array" ref="B51">INDEX(Teams!$A$1:$N$1,1,SUMPRODUCT((Teams!$A$2:$N$13=C51&amp;" "&amp;D51)*COLUMN(A:N)))</f>
        <v>Lightning Strikes</v>
      </c>
      <c r="C51" s="3" t="s">
        <v>183</v>
      </c>
      <c r="D51" s="3" t="s">
        <v>184</v>
      </c>
      <c r="E51" s="3" t="s">
        <v>47</v>
      </c>
      <c r="F51" s="3" t="s">
        <v>420</v>
      </c>
      <c r="G51" s="3" t="s">
        <v>420</v>
      </c>
      <c r="H51" s="3">
        <v>67</v>
      </c>
      <c r="I51" s="3">
        <v>65</v>
      </c>
      <c r="J51" s="3">
        <v>1</v>
      </c>
      <c r="K51" s="3">
        <v>122</v>
      </c>
      <c r="L51" s="3">
        <v>127</v>
      </c>
      <c r="M51" s="3">
        <v>96.1</v>
      </c>
      <c r="N51" s="4">
        <v>0.59</v>
      </c>
      <c r="O51" s="3">
        <v>72</v>
      </c>
      <c r="P51" s="3">
        <v>50</v>
      </c>
      <c r="Q51" s="4">
        <v>0.29299999999999998</v>
      </c>
      <c r="R51" s="4">
        <v>0.24399999999999999</v>
      </c>
      <c r="S51" s="4">
        <v>0.30399999999999999</v>
      </c>
      <c r="T51" s="3">
        <v>115</v>
      </c>
      <c r="U51" s="3">
        <v>97</v>
      </c>
      <c r="V51" s="3">
        <v>117</v>
      </c>
      <c r="W51" s="3">
        <v>109.8</v>
      </c>
      <c r="X51" s="3" t="s">
        <v>32</v>
      </c>
      <c r="Y51" s="3" t="s">
        <v>33</v>
      </c>
      <c r="Z51" s="3">
        <v>100</v>
      </c>
      <c r="AA51" s="3">
        <v>2.5</v>
      </c>
      <c r="AB51" s="3">
        <v>1</v>
      </c>
      <c r="AC51" s="3">
        <v>1</v>
      </c>
      <c r="AD51" s="3">
        <v>2</v>
      </c>
      <c r="AE51" s="3">
        <f t="shared" si="1"/>
        <v>116.3</v>
      </c>
      <c r="AF51" s="3">
        <v>115.3</v>
      </c>
      <c r="AG51" s="3" t="s">
        <v>185</v>
      </c>
    </row>
    <row r="52" spans="1:33" s="3" customFormat="1" x14ac:dyDescent="0.25">
      <c r="A52" s="3">
        <v>556</v>
      </c>
      <c r="B52" s="3" t="str" cm="1">
        <f t="array" ref="B52">INDEX(Teams!$A$1:$N$1,1,SUMPRODUCT((Teams!$A$2:$N$13=C52&amp;" "&amp;D52)*COLUMN(A:N)))</f>
        <v xml:space="preserve">  Xtreme</v>
      </c>
      <c r="C52" s="3" t="s">
        <v>87</v>
      </c>
      <c r="D52" s="3" t="s">
        <v>174</v>
      </c>
      <c r="E52" s="3" t="s">
        <v>92</v>
      </c>
      <c r="F52" s="3" t="s">
        <v>454</v>
      </c>
      <c r="G52" s="3" t="s">
        <v>601</v>
      </c>
      <c r="H52" s="3">
        <v>54</v>
      </c>
      <c r="I52" s="3">
        <v>93</v>
      </c>
      <c r="J52" s="3">
        <v>0</v>
      </c>
      <c r="K52" s="3">
        <v>52</v>
      </c>
      <c r="L52" s="3">
        <v>66</v>
      </c>
      <c r="M52" s="3">
        <v>78.8</v>
      </c>
      <c r="N52" s="4">
        <v>0.48099999999999998</v>
      </c>
      <c r="O52" s="3">
        <v>25</v>
      </c>
      <c r="P52" s="3">
        <v>27</v>
      </c>
      <c r="Q52" s="4">
        <v>0.28799999999999998</v>
      </c>
      <c r="S52" s="4">
        <v>0.248</v>
      </c>
      <c r="T52" s="3">
        <v>113</v>
      </c>
      <c r="V52" s="3">
        <v>96</v>
      </c>
      <c r="W52" s="3">
        <v>109.1</v>
      </c>
      <c r="X52" s="3" t="s">
        <v>111</v>
      </c>
      <c r="Y52" s="3" t="s">
        <v>33</v>
      </c>
      <c r="Z52" s="3">
        <v>100</v>
      </c>
      <c r="AA52" s="3">
        <v>1.5</v>
      </c>
      <c r="AB52" s="3">
        <v>5</v>
      </c>
      <c r="AC52" s="3">
        <v>0</v>
      </c>
      <c r="AD52" s="3">
        <v>0</v>
      </c>
      <c r="AE52" s="3">
        <f t="shared" si="1"/>
        <v>115.6</v>
      </c>
      <c r="AF52" s="3">
        <v>115.6</v>
      </c>
    </row>
    <row r="53" spans="1:33" s="3" customFormat="1" x14ac:dyDescent="0.25">
      <c r="A53" s="3">
        <v>571</v>
      </c>
      <c r="B53" s="3" t="str" cm="1">
        <f t="array" ref="B53">INDEX(Teams!$A$1:$N$1,1,SUMPRODUCT((Teams!$A$2:$N$13=C53&amp;" "&amp;D53)*COLUMN(A:N)))</f>
        <v>Big Dawgs</v>
      </c>
      <c r="C53" s="3" t="s">
        <v>90</v>
      </c>
      <c r="D53" s="3" t="s">
        <v>175</v>
      </c>
      <c r="E53" s="3" t="s">
        <v>92</v>
      </c>
      <c r="F53" s="3" t="s">
        <v>42</v>
      </c>
      <c r="G53" s="3" t="s">
        <v>92</v>
      </c>
      <c r="H53" s="3">
        <v>64</v>
      </c>
      <c r="I53" s="3">
        <v>0</v>
      </c>
      <c r="J53" s="3">
        <v>0</v>
      </c>
      <c r="K53" s="3">
        <v>47</v>
      </c>
      <c r="L53" s="3">
        <v>64</v>
      </c>
      <c r="M53" s="3">
        <v>73.400000000000006</v>
      </c>
      <c r="N53" s="4">
        <v>0.44700000000000001</v>
      </c>
      <c r="O53" s="3">
        <v>21</v>
      </c>
      <c r="P53" s="3">
        <v>26</v>
      </c>
      <c r="Q53" s="4">
        <v>0</v>
      </c>
      <c r="R53" s="4">
        <v>0.29099999999999998</v>
      </c>
      <c r="S53" s="4">
        <v>0.26400000000000001</v>
      </c>
      <c r="T53" s="3">
        <v>0</v>
      </c>
      <c r="U53" s="3">
        <v>116</v>
      </c>
      <c r="V53" s="3">
        <v>102</v>
      </c>
      <c r="W53" s="3">
        <v>111.1</v>
      </c>
      <c r="X53" s="3" t="s">
        <v>176</v>
      </c>
      <c r="Y53" s="3" t="s">
        <v>33</v>
      </c>
      <c r="Z53" s="3">
        <v>92</v>
      </c>
      <c r="AA53" s="3">
        <v>1.5</v>
      </c>
      <c r="AB53" s="3">
        <v>3</v>
      </c>
      <c r="AC53" s="3">
        <v>0</v>
      </c>
      <c r="AD53" s="3">
        <v>0</v>
      </c>
      <c r="AE53" s="3">
        <f t="shared" si="1"/>
        <v>115.6</v>
      </c>
      <c r="AF53" s="3">
        <v>115.6</v>
      </c>
      <c r="AG53" s="3" t="s">
        <v>177</v>
      </c>
    </row>
    <row r="54" spans="1:33" s="3" customFormat="1" x14ac:dyDescent="0.25">
      <c r="A54" s="3">
        <v>587</v>
      </c>
      <c r="B54" s="3" t="str" cm="1">
        <f t="array" ref="B54">INDEX(Teams!$A$1:$N$1,1,SUMPRODUCT((Teams!$A$2:$N$13=C54&amp;" "&amp;D54)*COLUMN(A:N)))</f>
        <v xml:space="preserve">Gunslingers  </v>
      </c>
      <c r="C54" s="3" t="s">
        <v>178</v>
      </c>
      <c r="D54" s="3" t="s">
        <v>179</v>
      </c>
      <c r="E54" s="3" t="s">
        <v>92</v>
      </c>
      <c r="F54" s="3" t="s">
        <v>539</v>
      </c>
      <c r="G54" s="3" t="s">
        <v>420</v>
      </c>
      <c r="H54" s="3">
        <v>58</v>
      </c>
      <c r="I54" s="3">
        <v>74</v>
      </c>
      <c r="J54" s="3">
        <v>1</v>
      </c>
      <c r="K54" s="3">
        <v>62</v>
      </c>
      <c r="L54" s="3">
        <v>65</v>
      </c>
      <c r="M54" s="3">
        <v>95.4</v>
      </c>
      <c r="N54" s="4">
        <v>0.5</v>
      </c>
      <c r="O54" s="3">
        <v>31</v>
      </c>
      <c r="P54" s="3">
        <v>31</v>
      </c>
      <c r="Q54" s="4">
        <v>0.27900000000000003</v>
      </c>
      <c r="R54" s="4">
        <v>0.28499999999999998</v>
      </c>
      <c r="S54" s="4">
        <v>0.23899999999999999</v>
      </c>
      <c r="T54" s="3">
        <v>109</v>
      </c>
      <c r="U54" s="3">
        <v>114</v>
      </c>
      <c r="V54" s="3">
        <v>92</v>
      </c>
      <c r="W54" s="3">
        <v>107.1</v>
      </c>
      <c r="X54" s="3" t="s">
        <v>32</v>
      </c>
      <c r="Y54" s="3" t="s">
        <v>33</v>
      </c>
      <c r="Z54" s="3">
        <v>100</v>
      </c>
      <c r="AA54" s="3">
        <v>1.5</v>
      </c>
      <c r="AB54" s="3">
        <v>5</v>
      </c>
      <c r="AC54" s="3">
        <v>0</v>
      </c>
      <c r="AD54" s="3">
        <v>2</v>
      </c>
      <c r="AE54" s="3">
        <f t="shared" si="1"/>
        <v>115.6</v>
      </c>
      <c r="AF54" s="3">
        <v>115.6</v>
      </c>
    </row>
    <row r="55" spans="1:33" s="3" customFormat="1" x14ac:dyDescent="0.25">
      <c r="A55" s="3">
        <v>596</v>
      </c>
      <c r="B55" s="3" t="str" cm="1">
        <f t="array" ref="B55">INDEX(Teams!$A$1:$N$1,1,SUMPRODUCT((Teams!$A$2:$N$13=C55&amp;" "&amp;D55)*COLUMN(A:N)))</f>
        <v xml:space="preserve">  Buckeyes</v>
      </c>
      <c r="C55" s="3" t="s">
        <v>180</v>
      </c>
      <c r="D55" s="3" t="s">
        <v>181</v>
      </c>
      <c r="E55" s="3" t="s">
        <v>31</v>
      </c>
      <c r="F55" s="3" t="s">
        <v>425</v>
      </c>
      <c r="G55" s="3" t="s">
        <v>428</v>
      </c>
      <c r="H55" s="3">
        <v>58</v>
      </c>
      <c r="I55" s="3">
        <v>61</v>
      </c>
      <c r="J55" s="3">
        <v>4</v>
      </c>
      <c r="K55" s="3">
        <v>42</v>
      </c>
      <c r="L55" s="3">
        <v>63</v>
      </c>
      <c r="M55" s="3">
        <v>66.7</v>
      </c>
      <c r="N55" s="4">
        <v>0.45200000000000001</v>
      </c>
      <c r="O55" s="3">
        <v>19</v>
      </c>
      <c r="P55" s="3">
        <v>23</v>
      </c>
      <c r="Q55" s="4">
        <v>0.30599999999999999</v>
      </c>
      <c r="R55" s="4">
        <v>0.27800000000000002</v>
      </c>
      <c r="S55" s="4">
        <v>0.20699999999999999</v>
      </c>
      <c r="T55" s="3">
        <v>120</v>
      </c>
      <c r="U55" s="3">
        <v>111</v>
      </c>
      <c r="V55" s="3">
        <v>80</v>
      </c>
      <c r="W55" s="3">
        <v>109.1</v>
      </c>
      <c r="X55" s="3" t="s">
        <v>32</v>
      </c>
      <c r="Y55" s="3" t="s">
        <v>33</v>
      </c>
      <c r="Z55" s="3">
        <v>97.5</v>
      </c>
      <c r="AA55" s="3">
        <v>3.5</v>
      </c>
      <c r="AB55" s="3">
        <v>5</v>
      </c>
      <c r="AC55" s="3">
        <v>0</v>
      </c>
      <c r="AD55" s="3">
        <v>-2</v>
      </c>
      <c r="AE55" s="3">
        <f t="shared" si="1"/>
        <v>115.6</v>
      </c>
      <c r="AF55" s="3">
        <v>115.6</v>
      </c>
      <c r="AG55" s="3" t="s">
        <v>182</v>
      </c>
    </row>
    <row r="56" spans="1:33" s="3" customFormat="1" x14ac:dyDescent="0.25">
      <c r="A56" s="3">
        <v>514</v>
      </c>
      <c r="B56" s="3" t="str" cm="1">
        <f t="array" ref="B56">INDEX(Teams!$A$1:$N$1,1,SUMPRODUCT((Teams!$A$2:$N$13=C56&amp;" "&amp;D56)*COLUMN(A:N)))</f>
        <v xml:space="preserve">Gunslingers  </v>
      </c>
      <c r="C56" s="3" t="s">
        <v>123</v>
      </c>
      <c r="D56" s="3" t="s">
        <v>186</v>
      </c>
      <c r="E56" s="3" t="s">
        <v>37</v>
      </c>
      <c r="F56" s="3" t="s">
        <v>446</v>
      </c>
      <c r="G56" s="3" t="s">
        <v>420</v>
      </c>
      <c r="H56" s="3">
        <v>60</v>
      </c>
      <c r="I56" s="3">
        <v>92</v>
      </c>
      <c r="J56" s="3">
        <v>1</v>
      </c>
      <c r="K56" s="3">
        <v>138</v>
      </c>
      <c r="L56" s="3">
        <v>144</v>
      </c>
      <c r="M56" s="3">
        <v>95.8</v>
      </c>
      <c r="N56" s="4">
        <v>0.52600000000000002</v>
      </c>
      <c r="O56" s="3">
        <v>72</v>
      </c>
      <c r="P56" s="3">
        <v>65</v>
      </c>
      <c r="Q56" s="4">
        <v>0.248</v>
      </c>
      <c r="R56" s="4">
        <v>0.3</v>
      </c>
      <c r="S56" s="4">
        <v>0.28299999999999997</v>
      </c>
      <c r="T56" s="3">
        <v>97</v>
      </c>
      <c r="U56" s="3">
        <v>120</v>
      </c>
      <c r="V56" s="3">
        <v>109</v>
      </c>
      <c r="W56" s="3">
        <v>106.2</v>
      </c>
      <c r="X56" s="3" t="s">
        <v>32</v>
      </c>
      <c r="Y56" s="3" t="s">
        <v>33</v>
      </c>
      <c r="Z56" s="3">
        <v>100</v>
      </c>
      <c r="AA56" s="3">
        <v>4</v>
      </c>
      <c r="AB56" s="3">
        <v>3</v>
      </c>
      <c r="AC56" s="3">
        <v>0</v>
      </c>
      <c r="AD56" s="3">
        <v>2</v>
      </c>
      <c r="AE56" s="3">
        <f t="shared" si="1"/>
        <v>115.2</v>
      </c>
      <c r="AF56" s="3">
        <v>115.2</v>
      </c>
      <c r="AG56" s="3" t="s">
        <v>185</v>
      </c>
    </row>
    <row r="57" spans="1:33" s="3" customFormat="1" x14ac:dyDescent="0.25">
      <c r="B57" s="3" t="str" cm="1">
        <f t="array" ref="B57">INDEX(Teams!$A$1:$N$1,1,SUMPRODUCT((Teams!$A$2:$N$13=C57&amp;" "&amp;D57)*COLUMN(A:N)))</f>
        <v xml:space="preserve">  Wolverines</v>
      </c>
      <c r="C57" s="3" t="s">
        <v>35</v>
      </c>
      <c r="D57" s="3" t="s">
        <v>306</v>
      </c>
      <c r="E57" s="3" t="s">
        <v>139</v>
      </c>
      <c r="F57" s="3" t="s">
        <v>705</v>
      </c>
      <c r="G57" s="3" t="s">
        <v>706</v>
      </c>
      <c r="I57" s="3" t="s">
        <v>396</v>
      </c>
      <c r="J57" s="3" t="s">
        <v>396</v>
      </c>
      <c r="K57" s="3">
        <v>0</v>
      </c>
      <c r="L57" s="3">
        <v>0</v>
      </c>
      <c r="O57" s="3">
        <v>0</v>
      </c>
      <c r="P57" s="3">
        <v>0</v>
      </c>
      <c r="Q57" s="3" t="s">
        <v>396</v>
      </c>
      <c r="Y57" s="3" t="s">
        <v>94</v>
      </c>
      <c r="Z57" s="3">
        <v>0</v>
      </c>
      <c r="AA57" s="3">
        <v>0.5</v>
      </c>
      <c r="AB57" s="3">
        <v>0</v>
      </c>
      <c r="AC57" s="3">
        <v>115</v>
      </c>
      <c r="AD57" s="3">
        <v>0</v>
      </c>
      <c r="AE57" s="3">
        <f t="shared" si="1"/>
        <v>115</v>
      </c>
      <c r="AG57" s="3" t="s">
        <v>410</v>
      </c>
    </row>
    <row r="58" spans="1:33" s="3" customFormat="1" x14ac:dyDescent="0.25">
      <c r="A58" s="3">
        <v>615</v>
      </c>
      <c r="B58" s="3" t="str" cm="1">
        <f t="array" ref="B58">INDEX(Teams!$A$1:$N$1,1,SUMPRODUCT((Teams!$A$2:$N$13=C58&amp;" "&amp;D58)*COLUMN(A:N)))</f>
        <v xml:space="preserve">Bearcats  </v>
      </c>
      <c r="C58" s="3" t="s">
        <v>187</v>
      </c>
      <c r="D58" s="3" t="s">
        <v>188</v>
      </c>
      <c r="E58" s="3" t="s">
        <v>189</v>
      </c>
      <c r="F58" s="3" t="s">
        <v>420</v>
      </c>
      <c r="G58" s="3" t="s">
        <v>31</v>
      </c>
      <c r="H58" s="3">
        <v>55</v>
      </c>
      <c r="I58" s="3">
        <v>61</v>
      </c>
      <c r="J58" s="3">
        <v>6</v>
      </c>
      <c r="K58" s="3">
        <v>17</v>
      </c>
      <c r="L58" s="3">
        <v>22</v>
      </c>
      <c r="M58" s="3">
        <v>77.3</v>
      </c>
      <c r="N58" s="4">
        <v>0.41199999999999998</v>
      </c>
      <c r="O58" s="3">
        <v>7</v>
      </c>
      <c r="P58" s="3">
        <v>10</v>
      </c>
      <c r="Q58" s="4">
        <v>0.28100000000000003</v>
      </c>
      <c r="T58" s="3">
        <v>110</v>
      </c>
      <c r="W58" s="3">
        <v>109.8</v>
      </c>
      <c r="X58" s="3" t="s">
        <v>85</v>
      </c>
      <c r="Y58" s="3" t="s">
        <v>86</v>
      </c>
      <c r="Z58" s="3">
        <v>69.099999999999994</v>
      </c>
      <c r="AA58" s="3">
        <v>0</v>
      </c>
      <c r="AB58" s="3">
        <v>5</v>
      </c>
      <c r="AC58" s="3">
        <v>0</v>
      </c>
      <c r="AD58" s="3">
        <v>0</v>
      </c>
      <c r="AE58" s="3">
        <f t="shared" si="1"/>
        <v>114.8</v>
      </c>
      <c r="AF58" s="3">
        <v>114.8</v>
      </c>
    </row>
    <row r="59" spans="1:33" s="3" customFormat="1" x14ac:dyDescent="0.25">
      <c r="A59" s="3">
        <v>374</v>
      </c>
      <c r="B59" s="3" t="str" cm="1">
        <f t="array" ref="B59">INDEX(Teams!$A$1:$N$1,1,SUMPRODUCT((Teams!$A$2:$N$13=C59&amp;" "&amp;D59)*COLUMN(A:N)))</f>
        <v xml:space="preserve">Tigers   </v>
      </c>
      <c r="C59" s="3" t="s">
        <v>169</v>
      </c>
      <c r="D59" s="3" t="s">
        <v>172</v>
      </c>
      <c r="E59" s="3" t="s">
        <v>77</v>
      </c>
      <c r="F59" s="3" t="s">
        <v>420</v>
      </c>
      <c r="G59" s="3" t="s">
        <v>420</v>
      </c>
      <c r="H59" s="3">
        <v>67</v>
      </c>
      <c r="I59" s="3">
        <v>0</v>
      </c>
      <c r="J59" s="3">
        <v>0</v>
      </c>
      <c r="K59" s="3">
        <v>130</v>
      </c>
      <c r="L59" s="3">
        <v>150</v>
      </c>
      <c r="M59" s="3">
        <v>86.7</v>
      </c>
      <c r="N59" s="4">
        <v>0.51500000000000001</v>
      </c>
      <c r="O59" s="3">
        <v>67</v>
      </c>
      <c r="P59" s="3">
        <v>63</v>
      </c>
      <c r="Q59" s="4">
        <v>0</v>
      </c>
      <c r="S59" s="4">
        <v>0.28999999999999998</v>
      </c>
      <c r="T59" s="3">
        <v>0</v>
      </c>
      <c r="V59" s="3">
        <v>112</v>
      </c>
      <c r="W59" s="3">
        <v>109.7</v>
      </c>
      <c r="X59" s="3" t="s">
        <v>106</v>
      </c>
      <c r="Y59" s="3" t="s">
        <v>33</v>
      </c>
      <c r="Z59" s="3">
        <v>100</v>
      </c>
      <c r="AA59" s="3">
        <v>4</v>
      </c>
      <c r="AB59" s="3">
        <v>1</v>
      </c>
      <c r="AC59" s="3">
        <v>-1</v>
      </c>
      <c r="AD59" s="3">
        <v>1</v>
      </c>
      <c r="AE59" s="3">
        <f t="shared" si="1"/>
        <v>114.7</v>
      </c>
      <c r="AF59" s="3">
        <v>115.7</v>
      </c>
      <c r="AG59" s="3" t="s">
        <v>173</v>
      </c>
    </row>
    <row r="60" spans="1:33" s="3" customFormat="1" x14ac:dyDescent="0.25">
      <c r="A60" s="3">
        <v>610</v>
      </c>
      <c r="B60" s="3" t="str" cm="1">
        <f t="array" ref="B60">INDEX(Teams!$A$1:$N$1,1,SUMPRODUCT((Teams!$A$2:$N$13=C60&amp;" "&amp;D60)*COLUMN(A:N)))</f>
        <v xml:space="preserve">Rebels  </v>
      </c>
      <c r="C60" s="3" t="s">
        <v>190</v>
      </c>
      <c r="D60" s="3" t="s">
        <v>191</v>
      </c>
      <c r="E60" s="3" t="s">
        <v>192</v>
      </c>
      <c r="F60" s="3" t="s">
        <v>192</v>
      </c>
      <c r="G60" s="3" t="s">
        <v>92</v>
      </c>
      <c r="H60" s="3">
        <v>54</v>
      </c>
      <c r="I60" s="3">
        <v>74</v>
      </c>
      <c r="J60" s="3">
        <v>3</v>
      </c>
      <c r="K60" s="3">
        <v>20</v>
      </c>
      <c r="L60" s="3">
        <v>22</v>
      </c>
      <c r="M60" s="3">
        <v>90.9</v>
      </c>
      <c r="N60" s="4">
        <v>0.4</v>
      </c>
      <c r="O60" s="3">
        <v>8</v>
      </c>
      <c r="P60" s="3">
        <v>12</v>
      </c>
      <c r="Q60" s="4">
        <v>0.27500000000000002</v>
      </c>
      <c r="T60" s="3">
        <v>108</v>
      </c>
      <c r="W60" s="3">
        <v>107.4</v>
      </c>
      <c r="X60" s="3" t="s">
        <v>85</v>
      </c>
      <c r="Y60" s="3" t="s">
        <v>86</v>
      </c>
      <c r="Z60" s="3">
        <v>69.099999999999994</v>
      </c>
      <c r="AA60" s="3">
        <v>0</v>
      </c>
      <c r="AB60" s="3">
        <v>5</v>
      </c>
      <c r="AC60" s="3">
        <v>0</v>
      </c>
      <c r="AD60" s="3">
        <v>2</v>
      </c>
      <c r="AE60" s="3">
        <f t="shared" si="1"/>
        <v>114.4</v>
      </c>
      <c r="AF60" s="3">
        <v>114.4</v>
      </c>
      <c r="AG60" s="3" t="s">
        <v>193</v>
      </c>
    </row>
    <row r="61" spans="1:33" s="3" customFormat="1" x14ac:dyDescent="0.25">
      <c r="A61" s="3">
        <v>467</v>
      </c>
      <c r="B61" s="3" t="str" cm="1">
        <f t="array" ref="B61">INDEX(Teams!$A$1:$N$1,1,SUMPRODUCT((Teams!$A$2:$N$13=C61&amp;" "&amp;D61)*COLUMN(A:N)))</f>
        <v>Lightning Strikes</v>
      </c>
      <c r="C61" s="3" t="s">
        <v>45</v>
      </c>
      <c r="D61" s="3" t="s">
        <v>198</v>
      </c>
      <c r="E61" s="3" t="s">
        <v>47</v>
      </c>
      <c r="F61" s="3" t="s">
        <v>420</v>
      </c>
      <c r="G61" s="3" t="s">
        <v>586</v>
      </c>
      <c r="H61" s="3">
        <v>62</v>
      </c>
      <c r="I61" s="3">
        <v>0</v>
      </c>
      <c r="J61" s="3">
        <v>0</v>
      </c>
      <c r="K61" s="3">
        <v>77</v>
      </c>
      <c r="L61" s="3">
        <v>89</v>
      </c>
      <c r="M61" s="3">
        <v>86.5</v>
      </c>
      <c r="N61" s="4">
        <v>0.45500000000000002</v>
      </c>
      <c r="O61" s="3">
        <v>35</v>
      </c>
      <c r="P61" s="3">
        <v>42</v>
      </c>
      <c r="Q61" s="4">
        <v>0</v>
      </c>
      <c r="S61" s="4">
        <v>0.26600000000000001</v>
      </c>
      <c r="T61" s="3">
        <v>0</v>
      </c>
      <c r="V61" s="3">
        <v>103</v>
      </c>
      <c r="W61" s="3">
        <v>106.1</v>
      </c>
      <c r="X61" s="3" t="s">
        <v>43</v>
      </c>
      <c r="Y61" s="3" t="s">
        <v>33</v>
      </c>
      <c r="Z61" s="3">
        <v>100</v>
      </c>
      <c r="AA61" s="3">
        <v>2.5</v>
      </c>
      <c r="AB61" s="3">
        <v>3</v>
      </c>
      <c r="AC61" s="3">
        <v>1</v>
      </c>
      <c r="AD61" s="3">
        <v>1</v>
      </c>
      <c r="AE61" s="3">
        <f t="shared" si="1"/>
        <v>113.6</v>
      </c>
      <c r="AF61" s="3">
        <v>112.6</v>
      </c>
      <c r="AG61" s="3" t="s">
        <v>199</v>
      </c>
    </row>
    <row r="62" spans="1:33" x14ac:dyDescent="0.25">
      <c r="A62" s="5">
        <v>513</v>
      </c>
      <c r="B62" s="3" t="str" cm="1">
        <f t="array" ref="B62">INDEX(Teams!$A$1:$N$1,1,SUMPRODUCT((Teams!$A$2:$N$13=C62&amp;" "&amp;D62)*COLUMN(A:N)))</f>
        <v xml:space="preserve">  Xtreme</v>
      </c>
      <c r="C62" s="5" t="s">
        <v>126</v>
      </c>
      <c r="D62" s="5" t="s">
        <v>194</v>
      </c>
      <c r="E62" s="5" t="s">
        <v>77</v>
      </c>
      <c r="F62" s="5" t="s">
        <v>420</v>
      </c>
      <c r="G62" s="5" t="s">
        <v>420</v>
      </c>
      <c r="H62" s="5">
        <v>55</v>
      </c>
      <c r="I62" s="5">
        <v>0</v>
      </c>
      <c r="J62" s="5">
        <v>0</v>
      </c>
      <c r="K62" s="5">
        <v>93</v>
      </c>
      <c r="L62" s="5">
        <v>128</v>
      </c>
      <c r="M62" s="5">
        <v>72.7</v>
      </c>
      <c r="N62" s="6">
        <v>0.47799999999999998</v>
      </c>
      <c r="O62" s="5">
        <v>44</v>
      </c>
      <c r="P62" s="5">
        <v>48</v>
      </c>
      <c r="Q62" s="6">
        <v>0</v>
      </c>
      <c r="R62" s="6">
        <v>0.26800000000000002</v>
      </c>
      <c r="S62" s="6">
        <v>0.246</v>
      </c>
      <c r="T62" s="5">
        <v>0</v>
      </c>
      <c r="U62" s="5">
        <v>107</v>
      </c>
      <c r="V62" s="5">
        <v>95</v>
      </c>
      <c r="W62" s="5">
        <v>104.2</v>
      </c>
      <c r="X62" s="5" t="s">
        <v>176</v>
      </c>
      <c r="Y62" s="5" t="s">
        <v>33</v>
      </c>
      <c r="Z62" s="5">
        <v>92</v>
      </c>
      <c r="AA62" s="5">
        <v>4</v>
      </c>
      <c r="AB62" s="5">
        <v>5</v>
      </c>
      <c r="AC62" s="5">
        <v>0</v>
      </c>
      <c r="AD62" s="5">
        <v>0</v>
      </c>
      <c r="AE62" s="5">
        <f t="shared" si="1"/>
        <v>113.2</v>
      </c>
      <c r="AF62" s="5">
        <v>113.2</v>
      </c>
      <c r="AG62" s="5" t="s">
        <v>195</v>
      </c>
    </row>
    <row r="63" spans="1:33" s="3" customFormat="1" x14ac:dyDescent="0.25">
      <c r="A63" s="3">
        <v>530</v>
      </c>
      <c r="B63" s="3" t="str" cm="1">
        <f t="array" ref="B63">INDEX(Teams!$A$1:$N$1,1,SUMPRODUCT((Teams!$A$2:$N$13=C63&amp;" "&amp;D63)*COLUMN(A:N)))</f>
        <v xml:space="preserve">  Xtreme</v>
      </c>
      <c r="C63" s="3" t="s">
        <v>35</v>
      </c>
      <c r="D63" s="3" t="s">
        <v>196</v>
      </c>
      <c r="E63" s="3" t="s">
        <v>143</v>
      </c>
      <c r="F63" s="3" t="s">
        <v>420</v>
      </c>
      <c r="G63" s="3" t="s">
        <v>139</v>
      </c>
      <c r="I63" s="3">
        <v>82</v>
      </c>
      <c r="J63" s="3">
        <v>8</v>
      </c>
      <c r="K63" s="3">
        <v>84</v>
      </c>
      <c r="L63" s="3">
        <v>124</v>
      </c>
      <c r="M63" s="3">
        <v>67.7</v>
      </c>
      <c r="N63" s="4">
        <v>0.44600000000000001</v>
      </c>
      <c r="O63" s="3">
        <v>37</v>
      </c>
      <c r="P63" s="3">
        <v>46</v>
      </c>
      <c r="Q63" s="4">
        <v>0</v>
      </c>
      <c r="R63" s="4">
        <v>0.30087964814074369</v>
      </c>
      <c r="S63" s="4">
        <v>0</v>
      </c>
      <c r="T63" s="3">
        <v>0</v>
      </c>
      <c r="U63" s="3">
        <v>119.8747767456365</v>
      </c>
      <c r="V63" s="3">
        <v>0</v>
      </c>
      <c r="W63" s="3">
        <v>113.1</v>
      </c>
      <c r="X63" s="3" t="s">
        <v>197</v>
      </c>
      <c r="Y63" s="3" t="s">
        <v>33</v>
      </c>
      <c r="Z63" s="3">
        <v>92</v>
      </c>
      <c r="AA63" s="3">
        <v>1.5</v>
      </c>
      <c r="AB63" s="3">
        <v>0</v>
      </c>
      <c r="AC63" s="3">
        <v>0</v>
      </c>
      <c r="AD63" s="3">
        <v>-2</v>
      </c>
      <c r="AE63" s="3">
        <f t="shared" si="1"/>
        <v>112.6</v>
      </c>
      <c r="AF63" s="3">
        <v>112.6</v>
      </c>
    </row>
    <row r="64" spans="1:33" s="3" customFormat="1" x14ac:dyDescent="0.25">
      <c r="A64" s="3">
        <v>612</v>
      </c>
      <c r="B64" s="3" t="str" cm="1">
        <f t="array" ref="B64">INDEX(Teams!$A$1:$N$1,1,SUMPRODUCT((Teams!$A$2:$N$13=C64&amp;" "&amp;D64)*COLUMN(A:N)))</f>
        <v>Team USA</v>
      </c>
      <c r="C64" s="3" t="s">
        <v>187</v>
      </c>
      <c r="D64" s="3" t="s">
        <v>200</v>
      </c>
      <c r="E64" s="3" t="s">
        <v>47</v>
      </c>
      <c r="F64" s="3" t="s">
        <v>420</v>
      </c>
      <c r="G64" s="3" t="s">
        <v>92</v>
      </c>
      <c r="H64" s="3">
        <v>59</v>
      </c>
      <c r="I64" s="3">
        <v>66</v>
      </c>
      <c r="J64" s="3">
        <v>4</v>
      </c>
      <c r="K64" s="3">
        <v>18</v>
      </c>
      <c r="L64" s="3">
        <v>22</v>
      </c>
      <c r="M64" s="3">
        <v>81.8</v>
      </c>
      <c r="N64" s="4">
        <v>0.55600000000000005</v>
      </c>
      <c r="O64" s="3">
        <v>10</v>
      </c>
      <c r="P64" s="3">
        <v>8</v>
      </c>
      <c r="Q64" s="4">
        <v>0.26600000000000001</v>
      </c>
      <c r="T64" s="3">
        <v>104</v>
      </c>
      <c r="W64" s="3">
        <v>103.9</v>
      </c>
      <c r="X64" s="3" t="s">
        <v>85</v>
      </c>
      <c r="Y64" s="3" t="s">
        <v>86</v>
      </c>
      <c r="Z64" s="3">
        <v>69.099999999999994</v>
      </c>
      <c r="AA64" s="3">
        <v>2.5</v>
      </c>
      <c r="AB64" s="3">
        <v>5</v>
      </c>
      <c r="AC64" s="3">
        <v>0</v>
      </c>
      <c r="AD64" s="3">
        <v>1</v>
      </c>
      <c r="AE64" s="3">
        <f t="shared" si="1"/>
        <v>112.4</v>
      </c>
      <c r="AF64" s="3">
        <v>112.4</v>
      </c>
      <c r="AG64" s="3" t="s">
        <v>201</v>
      </c>
    </row>
    <row r="65" spans="1:33" s="3" customFormat="1" x14ac:dyDescent="0.25">
      <c r="A65" s="3">
        <v>599</v>
      </c>
      <c r="B65" s="3" t="str" cm="1">
        <f t="array" ref="B65">INDEX(Teams!$A$1:$N$1,1,SUMPRODUCT((Teams!$A$2:$N$13=C65&amp;" "&amp;D65)*COLUMN(A:N)))</f>
        <v>Bad News Bears</v>
      </c>
      <c r="C65" s="3" t="s">
        <v>35</v>
      </c>
      <c r="D65" s="3" t="s">
        <v>202</v>
      </c>
      <c r="E65" s="3" t="s">
        <v>139</v>
      </c>
      <c r="F65" s="3" t="s">
        <v>139</v>
      </c>
      <c r="G65" s="3" t="s">
        <v>433</v>
      </c>
      <c r="H65" s="3">
        <v>69</v>
      </c>
      <c r="I65" s="3">
        <v>0</v>
      </c>
      <c r="J65" s="3">
        <v>0</v>
      </c>
      <c r="K65" s="3">
        <v>21</v>
      </c>
      <c r="L65" s="3">
        <v>21</v>
      </c>
      <c r="M65" s="3">
        <v>100</v>
      </c>
      <c r="N65" s="4">
        <v>0.57099999999999995</v>
      </c>
      <c r="O65" s="3">
        <v>12</v>
      </c>
      <c r="P65" s="3">
        <v>9</v>
      </c>
      <c r="Q65" s="4">
        <v>0</v>
      </c>
      <c r="R65" s="4">
        <v>0.27200000000000002</v>
      </c>
      <c r="T65" s="3">
        <v>0</v>
      </c>
      <c r="U65" s="3">
        <v>108</v>
      </c>
      <c r="W65" s="3">
        <v>108.4</v>
      </c>
      <c r="X65" s="3" t="s">
        <v>93</v>
      </c>
      <c r="Y65" s="3" t="s">
        <v>86</v>
      </c>
      <c r="Z65" s="3">
        <v>61.1</v>
      </c>
      <c r="AA65" s="3">
        <v>0.5</v>
      </c>
      <c r="AB65" s="3">
        <v>1</v>
      </c>
      <c r="AC65" s="3">
        <v>0</v>
      </c>
      <c r="AD65" s="3">
        <v>2</v>
      </c>
      <c r="AE65" s="3">
        <f t="shared" si="1"/>
        <v>111.9</v>
      </c>
      <c r="AF65" s="3">
        <v>111.9</v>
      </c>
      <c r="AG65" s="3" t="s">
        <v>151</v>
      </c>
    </row>
    <row r="66" spans="1:33" s="3" customFormat="1" x14ac:dyDescent="0.25">
      <c r="A66" s="3">
        <v>552</v>
      </c>
      <c r="B66" s="3" t="str" cm="1">
        <f t="array" ref="B66">INDEX(Teams!$A$1:$N$1,1,SUMPRODUCT((Teams!$A$2:$N$13=C66&amp;" "&amp;D66)*COLUMN(A:N)))</f>
        <v xml:space="preserve">  Norsemen</v>
      </c>
      <c r="C66" s="3" t="s">
        <v>87</v>
      </c>
      <c r="D66" s="3" t="s">
        <v>198</v>
      </c>
      <c r="E66" s="3" t="s">
        <v>47</v>
      </c>
      <c r="F66" s="3" t="s">
        <v>420</v>
      </c>
      <c r="G66" s="3" t="s">
        <v>492</v>
      </c>
      <c r="H66" s="3">
        <v>53</v>
      </c>
      <c r="I66" s="3">
        <v>82</v>
      </c>
      <c r="J66" s="3">
        <v>0</v>
      </c>
      <c r="K66" s="3">
        <v>121</v>
      </c>
      <c r="L66" s="3">
        <v>127</v>
      </c>
      <c r="M66" s="3">
        <v>95.3</v>
      </c>
      <c r="N66" s="4">
        <v>0.41299999999999998</v>
      </c>
      <c r="O66" s="3">
        <v>50</v>
      </c>
      <c r="P66" s="3">
        <v>71</v>
      </c>
      <c r="Q66" s="4">
        <v>0.26100000000000001</v>
      </c>
      <c r="R66" s="4">
        <v>0.246</v>
      </c>
      <c r="S66" s="4">
        <v>0.27700000000000002</v>
      </c>
      <c r="T66" s="3">
        <v>102</v>
      </c>
      <c r="U66" s="3">
        <v>98</v>
      </c>
      <c r="V66" s="3">
        <v>107</v>
      </c>
      <c r="W66" s="3">
        <v>101.8</v>
      </c>
      <c r="X66" s="3" t="s">
        <v>32</v>
      </c>
      <c r="Y66" s="3" t="s">
        <v>33</v>
      </c>
      <c r="Z66" s="3">
        <v>100</v>
      </c>
      <c r="AA66" s="3">
        <v>2.5</v>
      </c>
      <c r="AB66" s="3">
        <v>5</v>
      </c>
      <c r="AC66" s="3">
        <v>0</v>
      </c>
      <c r="AD66" s="3">
        <v>2</v>
      </c>
      <c r="AE66" s="3">
        <f t="shared" ref="AE66:AE97" si="2">AF66+AC66</f>
        <v>111.3</v>
      </c>
      <c r="AF66" s="3">
        <v>111.3</v>
      </c>
      <c r="AG66" s="3" t="s">
        <v>203</v>
      </c>
    </row>
    <row r="67" spans="1:33" s="3" customFormat="1" x14ac:dyDescent="0.25">
      <c r="A67" s="3">
        <v>529</v>
      </c>
      <c r="B67" s="3" t="str" cm="1">
        <f t="array" ref="B67">INDEX(Teams!$A$1:$N$1,1,SUMPRODUCT((Teams!$A$2:$N$13=C67&amp;" "&amp;D67)*COLUMN(A:N)))</f>
        <v xml:space="preserve">Bearcats  </v>
      </c>
      <c r="C67" s="3" t="s">
        <v>204</v>
      </c>
      <c r="D67" s="3" t="s">
        <v>205</v>
      </c>
      <c r="E67" s="3" t="s">
        <v>47</v>
      </c>
      <c r="F67" s="3" t="s">
        <v>420</v>
      </c>
      <c r="G67" s="3" t="s">
        <v>92</v>
      </c>
      <c r="H67" s="3">
        <v>65</v>
      </c>
      <c r="I67" s="3">
        <v>90</v>
      </c>
      <c r="J67" s="3">
        <v>0</v>
      </c>
      <c r="K67" s="3">
        <v>132</v>
      </c>
      <c r="L67" s="3">
        <v>146</v>
      </c>
      <c r="M67" s="3">
        <v>90.4</v>
      </c>
      <c r="N67" s="4">
        <v>0.52700000000000002</v>
      </c>
      <c r="O67" s="3">
        <v>69</v>
      </c>
      <c r="P67" s="3">
        <v>62</v>
      </c>
      <c r="Q67" s="4">
        <v>0.28399999999999997</v>
      </c>
      <c r="R67" s="4">
        <v>0.23400000000000001</v>
      </c>
      <c r="S67" s="4">
        <v>0.27200000000000002</v>
      </c>
      <c r="T67" s="3">
        <v>111</v>
      </c>
      <c r="U67" s="3">
        <v>93</v>
      </c>
      <c r="V67" s="3">
        <v>105</v>
      </c>
      <c r="W67" s="3">
        <v>104.5</v>
      </c>
      <c r="X67" s="3" t="s">
        <v>32</v>
      </c>
      <c r="Y67" s="3" t="s">
        <v>33</v>
      </c>
      <c r="Z67" s="3">
        <v>100</v>
      </c>
      <c r="AA67" s="3">
        <v>2.5</v>
      </c>
      <c r="AB67" s="3">
        <v>1</v>
      </c>
      <c r="AC67" s="3">
        <v>0</v>
      </c>
      <c r="AD67" s="3">
        <v>2</v>
      </c>
      <c r="AE67" s="3">
        <f t="shared" si="2"/>
        <v>110</v>
      </c>
      <c r="AF67" s="3">
        <v>110</v>
      </c>
      <c r="AG67" s="3" t="s">
        <v>206</v>
      </c>
    </row>
    <row r="68" spans="1:33" s="3" customFormat="1" x14ac:dyDescent="0.25">
      <c r="A68" s="3">
        <v>369</v>
      </c>
      <c r="B68" s="3" t="str" cm="1">
        <f t="array" ref="B68">INDEX(Teams!$A$1:$N$1,1,SUMPRODUCT((Teams!$A$2:$N$13=C68&amp;" "&amp;D68)*COLUMN(A:N)))</f>
        <v xml:space="preserve">Bearcats  </v>
      </c>
      <c r="C68" s="3" t="s">
        <v>114</v>
      </c>
      <c r="D68" s="3" t="s">
        <v>207</v>
      </c>
      <c r="E68" s="3" t="s">
        <v>136</v>
      </c>
      <c r="F68" s="3" t="s">
        <v>583</v>
      </c>
      <c r="G68" s="3" t="s">
        <v>420</v>
      </c>
      <c r="H68" s="3">
        <v>66</v>
      </c>
      <c r="I68" s="3">
        <v>88</v>
      </c>
      <c r="J68" s="3">
        <v>3</v>
      </c>
      <c r="K68" s="3">
        <v>292</v>
      </c>
      <c r="L68" s="3">
        <v>356</v>
      </c>
      <c r="M68" s="3">
        <v>82</v>
      </c>
      <c r="N68" s="4">
        <v>0.442</v>
      </c>
      <c r="O68" s="3">
        <v>129</v>
      </c>
      <c r="P68" s="3">
        <v>163</v>
      </c>
      <c r="Q68" s="4">
        <v>0.28199999999999997</v>
      </c>
      <c r="R68" s="4">
        <v>0.27900000000000003</v>
      </c>
      <c r="S68" s="4">
        <v>0.214</v>
      </c>
      <c r="T68" s="3">
        <v>110</v>
      </c>
      <c r="U68" s="3">
        <v>111</v>
      </c>
      <c r="V68" s="3">
        <v>83</v>
      </c>
      <c r="W68" s="3">
        <v>105.1</v>
      </c>
      <c r="X68" s="3" t="s">
        <v>32</v>
      </c>
      <c r="Y68" s="3" t="s">
        <v>33</v>
      </c>
      <c r="Z68" s="3">
        <v>100</v>
      </c>
      <c r="AA68" s="3">
        <v>2</v>
      </c>
      <c r="AB68" s="3">
        <v>1</v>
      </c>
      <c r="AC68" s="3">
        <v>0</v>
      </c>
      <c r="AD68" s="3">
        <v>1</v>
      </c>
      <c r="AE68" s="3">
        <f t="shared" si="2"/>
        <v>109.1</v>
      </c>
      <c r="AF68" s="3">
        <v>109.1</v>
      </c>
    </row>
    <row r="69" spans="1:33" s="3" customFormat="1" x14ac:dyDescent="0.25">
      <c r="A69" s="3">
        <v>506</v>
      </c>
      <c r="B69" s="3" t="str" cm="1">
        <f t="array" ref="B69">INDEX(Teams!$A$1:$N$1,1,SUMPRODUCT((Teams!$A$2:$N$13=C69&amp;" "&amp;D69)*COLUMN(A:N)))</f>
        <v xml:space="preserve">Shorebirds  </v>
      </c>
      <c r="C69" s="3" t="s">
        <v>45</v>
      </c>
      <c r="D69" s="3" t="s">
        <v>213</v>
      </c>
      <c r="E69" s="3" t="s">
        <v>143</v>
      </c>
      <c r="F69" s="3" t="s">
        <v>420</v>
      </c>
      <c r="G69" s="3" t="s">
        <v>526</v>
      </c>
      <c r="H69" s="3">
        <v>62</v>
      </c>
      <c r="I69" s="3">
        <v>78</v>
      </c>
      <c r="J69" s="3">
        <v>0</v>
      </c>
      <c r="K69" s="3">
        <v>103</v>
      </c>
      <c r="L69" s="3">
        <v>147</v>
      </c>
      <c r="M69" s="3">
        <v>70.099999999999994</v>
      </c>
      <c r="N69" s="4">
        <v>0.82499999999999996</v>
      </c>
      <c r="O69" s="3">
        <v>85</v>
      </c>
      <c r="P69" s="3">
        <v>18</v>
      </c>
      <c r="Q69" s="4">
        <v>0.26100000000000001</v>
      </c>
      <c r="S69" s="4">
        <v>0.27300000000000002</v>
      </c>
      <c r="T69" s="3">
        <v>102</v>
      </c>
      <c r="V69" s="3">
        <v>105</v>
      </c>
      <c r="W69" s="3">
        <v>103.5</v>
      </c>
      <c r="X69" s="3" t="s">
        <v>56</v>
      </c>
      <c r="Y69" s="3" t="s">
        <v>33</v>
      </c>
      <c r="Z69" s="3">
        <v>100</v>
      </c>
      <c r="AA69" s="3">
        <v>1.5</v>
      </c>
      <c r="AB69" s="3">
        <v>3</v>
      </c>
      <c r="AC69" s="3">
        <v>1</v>
      </c>
      <c r="AD69" s="3">
        <v>0</v>
      </c>
      <c r="AE69" s="3">
        <f t="shared" si="2"/>
        <v>109</v>
      </c>
      <c r="AF69" s="3">
        <v>108</v>
      </c>
      <c r="AG69" s="3" t="s">
        <v>214</v>
      </c>
    </row>
    <row r="70" spans="1:33" s="3" customFormat="1" x14ac:dyDescent="0.25">
      <c r="A70" s="3">
        <v>494</v>
      </c>
      <c r="B70" s="3" t="str" cm="1">
        <f t="array" ref="B70">INDEX(Teams!$A$1:$N$1,1,SUMPRODUCT((Teams!$A$2:$N$13=C70&amp;" "&amp;D70)*COLUMN(A:N)))</f>
        <v>Team USA</v>
      </c>
      <c r="C70" s="3" t="s">
        <v>137</v>
      </c>
      <c r="D70" s="3" t="s">
        <v>138</v>
      </c>
      <c r="E70" s="3" t="s">
        <v>139</v>
      </c>
      <c r="F70" s="3" t="s">
        <v>42</v>
      </c>
      <c r="G70" s="3" t="s">
        <v>139</v>
      </c>
      <c r="H70" s="3">
        <v>57</v>
      </c>
      <c r="I70" s="3">
        <v>80</v>
      </c>
      <c r="J70" s="3">
        <v>4</v>
      </c>
      <c r="K70" s="3">
        <v>131</v>
      </c>
      <c r="L70" s="3">
        <v>165</v>
      </c>
      <c r="M70" s="3">
        <v>79.400000000000006</v>
      </c>
      <c r="N70" s="4">
        <v>0.41199999999999998</v>
      </c>
      <c r="O70" s="3">
        <v>54</v>
      </c>
      <c r="P70" s="3">
        <v>77</v>
      </c>
      <c r="Q70" s="4">
        <v>0.27800000000000002</v>
      </c>
      <c r="R70" s="4">
        <v>0.27800000000000002</v>
      </c>
      <c r="S70" s="4">
        <v>0.33600000000000002</v>
      </c>
      <c r="T70" s="3">
        <v>109</v>
      </c>
      <c r="U70" s="3">
        <v>111</v>
      </c>
      <c r="V70" s="3">
        <v>130</v>
      </c>
      <c r="W70" s="3">
        <v>113.4</v>
      </c>
      <c r="X70" s="3" t="s">
        <v>32</v>
      </c>
      <c r="Y70" s="3" t="s">
        <v>33</v>
      </c>
      <c r="Z70" s="3">
        <v>100</v>
      </c>
      <c r="AA70" s="3">
        <v>0.5</v>
      </c>
      <c r="AB70" s="3">
        <v>5</v>
      </c>
      <c r="AC70" s="3">
        <v>-10</v>
      </c>
      <c r="AD70" s="3">
        <v>0</v>
      </c>
      <c r="AE70" s="3">
        <f t="shared" si="2"/>
        <v>108.9</v>
      </c>
      <c r="AF70" s="3">
        <v>118.9</v>
      </c>
      <c r="AG70" s="3" t="s">
        <v>140</v>
      </c>
    </row>
    <row r="71" spans="1:33" s="3" customFormat="1" x14ac:dyDescent="0.25">
      <c r="A71" s="3">
        <v>283</v>
      </c>
      <c r="B71" s="3" t="str" cm="1">
        <f t="array" ref="B71">INDEX(Teams!$A$1:$N$1,1,SUMPRODUCT((Teams!$A$2:$N$13=C71&amp;" "&amp;D71)*COLUMN(A:N)))</f>
        <v>Big Dawgs</v>
      </c>
      <c r="C71" s="3" t="s">
        <v>208</v>
      </c>
      <c r="D71" s="3" t="s">
        <v>209</v>
      </c>
      <c r="E71" s="3" t="s">
        <v>47</v>
      </c>
      <c r="F71" s="3" t="s">
        <v>611</v>
      </c>
      <c r="G71" s="3" t="s">
        <v>611</v>
      </c>
      <c r="H71" s="3">
        <v>63</v>
      </c>
      <c r="I71" s="3">
        <v>0</v>
      </c>
      <c r="J71" s="3">
        <v>0</v>
      </c>
      <c r="K71" s="3">
        <v>127</v>
      </c>
      <c r="L71" s="3">
        <v>192</v>
      </c>
      <c r="M71" s="3">
        <v>66.099999999999994</v>
      </c>
      <c r="N71" s="4">
        <v>0.41699999999999998</v>
      </c>
      <c r="O71" s="3">
        <v>53</v>
      </c>
      <c r="P71" s="3">
        <v>74</v>
      </c>
      <c r="Q71" s="4">
        <v>0</v>
      </c>
      <c r="S71" s="4">
        <v>0.252</v>
      </c>
      <c r="T71" s="3">
        <v>0</v>
      </c>
      <c r="V71" s="3">
        <v>97</v>
      </c>
      <c r="W71" s="3">
        <v>105.3</v>
      </c>
      <c r="X71" s="3" t="s">
        <v>43</v>
      </c>
      <c r="Y71" s="3" t="s">
        <v>33</v>
      </c>
      <c r="Z71" s="3">
        <v>100</v>
      </c>
      <c r="AA71" s="3">
        <v>2.5</v>
      </c>
      <c r="AB71" s="3">
        <v>3</v>
      </c>
      <c r="AC71" s="3">
        <v>0</v>
      </c>
      <c r="AD71" s="3">
        <v>-2</v>
      </c>
      <c r="AE71" s="3">
        <f t="shared" si="2"/>
        <v>108.8</v>
      </c>
      <c r="AF71" s="3">
        <v>108.8</v>
      </c>
      <c r="AG71" s="3" t="s">
        <v>210</v>
      </c>
    </row>
    <row r="72" spans="1:33" s="3" customFormat="1" x14ac:dyDescent="0.25">
      <c r="A72" s="3">
        <v>609</v>
      </c>
      <c r="B72" s="3" t="str" cm="1">
        <f t="array" ref="B72">INDEX(Teams!$A$1:$N$1,1,SUMPRODUCT((Teams!$A$2:$N$13=C72&amp;" "&amp;D72)*COLUMN(A:N)))</f>
        <v xml:space="preserve">  Xtreme</v>
      </c>
      <c r="C72" s="3" t="s">
        <v>29</v>
      </c>
      <c r="D72" s="3" t="s">
        <v>211</v>
      </c>
      <c r="E72" s="3" t="s">
        <v>37</v>
      </c>
      <c r="F72" s="3" t="s">
        <v>420</v>
      </c>
      <c r="G72" s="3" t="s">
        <v>139</v>
      </c>
      <c r="H72" s="3">
        <v>61</v>
      </c>
      <c r="I72" s="3">
        <v>77</v>
      </c>
      <c r="J72" s="3">
        <v>10</v>
      </c>
      <c r="K72" s="3">
        <v>22</v>
      </c>
      <c r="L72" s="3">
        <v>22</v>
      </c>
      <c r="M72" s="3">
        <v>100</v>
      </c>
      <c r="N72" s="4">
        <v>0.40899999999999997</v>
      </c>
      <c r="O72" s="3">
        <v>9</v>
      </c>
      <c r="P72" s="3">
        <v>13</v>
      </c>
      <c r="Q72" s="4">
        <v>0.254</v>
      </c>
      <c r="T72" s="3">
        <v>99</v>
      </c>
      <c r="W72" s="3">
        <v>99.5</v>
      </c>
      <c r="X72" s="3" t="s">
        <v>85</v>
      </c>
      <c r="Y72" s="3" t="s">
        <v>86</v>
      </c>
      <c r="Z72" s="3">
        <v>69.099999999999994</v>
      </c>
      <c r="AA72" s="3">
        <v>4</v>
      </c>
      <c r="AB72" s="3">
        <v>3</v>
      </c>
      <c r="AC72" s="3">
        <v>0</v>
      </c>
      <c r="AD72" s="3">
        <v>2</v>
      </c>
      <c r="AE72" s="3">
        <f t="shared" si="2"/>
        <v>108.5</v>
      </c>
      <c r="AF72" s="3">
        <v>108.5</v>
      </c>
      <c r="AG72" s="3" t="s">
        <v>212</v>
      </c>
    </row>
    <row r="73" spans="1:33" s="3" customFormat="1" x14ac:dyDescent="0.25">
      <c r="B73" s="3" t="str" cm="1">
        <f t="array" ref="B73">INDEX(Teams!$A$1:$N$1,1,SUMPRODUCT((Teams!$A$2:$N$13=C73&amp;" "&amp;D73)*COLUMN(A:N)))</f>
        <v xml:space="preserve">  Wolverines</v>
      </c>
      <c r="C73" s="3" t="s">
        <v>123</v>
      </c>
      <c r="D73" s="3" t="s">
        <v>402</v>
      </c>
      <c r="E73" s="3" t="s">
        <v>37</v>
      </c>
      <c r="F73" s="3" t="s">
        <v>420</v>
      </c>
      <c r="G73" s="3" t="s">
        <v>31</v>
      </c>
      <c r="I73" s="3" t="s">
        <v>396</v>
      </c>
      <c r="J73" s="3" t="s">
        <v>396</v>
      </c>
      <c r="K73" s="3">
        <v>0</v>
      </c>
      <c r="L73" s="3">
        <v>0</v>
      </c>
      <c r="O73" s="3">
        <v>0</v>
      </c>
      <c r="P73" s="3">
        <v>0</v>
      </c>
      <c r="Q73" s="3" t="s">
        <v>396</v>
      </c>
      <c r="Y73" s="3" t="s">
        <v>94</v>
      </c>
      <c r="Z73" s="3">
        <v>0</v>
      </c>
      <c r="AA73" s="3">
        <v>4</v>
      </c>
      <c r="AB73" s="3">
        <v>0</v>
      </c>
      <c r="AC73" s="3">
        <v>108</v>
      </c>
      <c r="AD73" s="3">
        <v>0</v>
      </c>
      <c r="AE73" s="3">
        <f t="shared" si="2"/>
        <v>108</v>
      </c>
      <c r="AG73" s="3" t="s">
        <v>403</v>
      </c>
    </row>
    <row r="74" spans="1:33" s="3" customFormat="1" x14ac:dyDescent="0.25">
      <c r="A74" s="3">
        <v>511</v>
      </c>
      <c r="B74" s="3" t="str" cm="1">
        <f t="array" ref="B74">INDEX(Teams!$A$1:$N$1,1,SUMPRODUCT((Teams!$A$2:$N$13=C74&amp;" "&amp;D74)*COLUMN(A:N)))</f>
        <v xml:space="preserve">  Norsemen</v>
      </c>
      <c r="C74" s="3" t="s">
        <v>215</v>
      </c>
      <c r="D74" s="3" t="s">
        <v>216</v>
      </c>
      <c r="E74" s="3" t="s">
        <v>139</v>
      </c>
      <c r="F74" s="3" t="s">
        <v>139</v>
      </c>
      <c r="G74" s="3" t="s">
        <v>92</v>
      </c>
      <c r="H74" s="3">
        <v>63</v>
      </c>
      <c r="I74" s="3">
        <v>76</v>
      </c>
      <c r="J74" s="3">
        <v>3</v>
      </c>
      <c r="K74" s="3">
        <v>77</v>
      </c>
      <c r="L74" s="3">
        <v>110</v>
      </c>
      <c r="M74" s="3">
        <v>70</v>
      </c>
      <c r="N74" s="4">
        <v>0.53200000000000003</v>
      </c>
      <c r="O74" s="3">
        <v>41</v>
      </c>
      <c r="P74" s="3">
        <v>36</v>
      </c>
      <c r="Q74" s="4">
        <v>0.25600000000000001</v>
      </c>
      <c r="S74" s="4">
        <v>0.29099999999999998</v>
      </c>
      <c r="T74" s="3">
        <v>100</v>
      </c>
      <c r="V74" s="3">
        <v>112</v>
      </c>
      <c r="W74" s="3">
        <v>104.3</v>
      </c>
      <c r="X74" s="3" t="s">
        <v>56</v>
      </c>
      <c r="Y74" s="3" t="s">
        <v>33</v>
      </c>
      <c r="Z74" s="3">
        <v>100</v>
      </c>
      <c r="AA74" s="3">
        <v>0.5</v>
      </c>
      <c r="AB74" s="3">
        <v>3</v>
      </c>
      <c r="AC74" s="3">
        <v>0</v>
      </c>
      <c r="AD74" s="3">
        <v>0</v>
      </c>
      <c r="AE74" s="3">
        <f t="shared" si="2"/>
        <v>107.8</v>
      </c>
      <c r="AF74" s="3">
        <v>107.8</v>
      </c>
      <c r="AG74" s="3" t="s">
        <v>217</v>
      </c>
    </row>
    <row r="75" spans="1:33" x14ac:dyDescent="0.25">
      <c r="A75" s="5">
        <v>286</v>
      </c>
      <c r="B75" s="3" t="str" cm="1">
        <f t="array" ref="B75">INDEX(Teams!$A$1:$N$1,1,SUMPRODUCT((Teams!$A$2:$N$13=C75&amp;" "&amp;D75)*COLUMN(A:N)))</f>
        <v xml:space="preserve">  Buckeyes</v>
      </c>
      <c r="C75" s="5" t="s">
        <v>218</v>
      </c>
      <c r="D75" s="5" t="s">
        <v>219</v>
      </c>
      <c r="E75" s="5" t="s">
        <v>139</v>
      </c>
      <c r="F75" s="5" t="s">
        <v>139</v>
      </c>
      <c r="G75" s="5" t="s">
        <v>31</v>
      </c>
      <c r="H75" s="5">
        <v>65</v>
      </c>
      <c r="I75" s="5">
        <v>74</v>
      </c>
      <c r="J75" s="5">
        <v>2</v>
      </c>
      <c r="K75" s="5">
        <v>297</v>
      </c>
      <c r="L75" s="5">
        <v>349</v>
      </c>
      <c r="M75" s="5">
        <v>85.1</v>
      </c>
      <c r="N75" s="6">
        <v>0.48499999999999999</v>
      </c>
      <c r="O75" s="5">
        <v>143</v>
      </c>
      <c r="P75" s="5">
        <v>152</v>
      </c>
      <c r="Q75" s="6">
        <v>0.29199999999999998</v>
      </c>
      <c r="R75" s="5"/>
      <c r="S75" s="6">
        <v>0.24299999999999999</v>
      </c>
      <c r="T75" s="5">
        <v>114</v>
      </c>
      <c r="U75" s="5"/>
      <c r="V75" s="5">
        <v>94</v>
      </c>
      <c r="W75" s="5">
        <v>105</v>
      </c>
      <c r="X75" s="5" t="s">
        <v>56</v>
      </c>
      <c r="Y75" s="5" t="s">
        <v>33</v>
      </c>
      <c r="Z75" s="5">
        <v>100</v>
      </c>
      <c r="AA75" s="5">
        <v>0.5</v>
      </c>
      <c r="AB75" s="5">
        <v>1</v>
      </c>
      <c r="AC75" s="5">
        <v>0</v>
      </c>
      <c r="AD75" s="5">
        <v>1</v>
      </c>
      <c r="AE75" s="5">
        <f t="shared" si="2"/>
        <v>107.5</v>
      </c>
      <c r="AF75" s="5">
        <v>107.5</v>
      </c>
      <c r="AG75" s="5" t="s">
        <v>220</v>
      </c>
    </row>
    <row r="76" spans="1:33" s="3" customFormat="1" x14ac:dyDescent="0.25">
      <c r="B76" s="3" t="str" cm="1">
        <f t="array" ref="B76">INDEX(Teams!$A$1:$N$1,1,SUMPRODUCT((Teams!$A$2:$N$13=C76&amp;" "&amp;D76)*COLUMN(A:N)))</f>
        <v xml:space="preserve">  Wolverines</v>
      </c>
      <c r="C76" s="3" t="s">
        <v>215</v>
      </c>
      <c r="D76" s="3" t="s">
        <v>404</v>
      </c>
      <c r="E76" s="3" t="s">
        <v>31</v>
      </c>
      <c r="F76" s="3" t="s">
        <v>92</v>
      </c>
      <c r="G76" s="3" t="s">
        <v>139</v>
      </c>
      <c r="I76" s="3" t="s">
        <v>396</v>
      </c>
      <c r="J76" s="3" t="s">
        <v>396</v>
      </c>
      <c r="K76" s="3">
        <v>0</v>
      </c>
      <c r="L76" s="3">
        <v>0</v>
      </c>
      <c r="O76" s="3">
        <v>0</v>
      </c>
      <c r="P76" s="3">
        <v>0</v>
      </c>
      <c r="Q76" s="3" t="s">
        <v>396</v>
      </c>
      <c r="Y76" s="3" t="s">
        <v>94</v>
      </c>
      <c r="Z76" s="3">
        <v>0</v>
      </c>
      <c r="AA76" s="3">
        <v>1.5</v>
      </c>
      <c r="AB76" s="3">
        <v>0</v>
      </c>
      <c r="AC76" s="3">
        <v>107</v>
      </c>
      <c r="AD76" s="3">
        <v>0</v>
      </c>
      <c r="AE76" s="3">
        <f t="shared" si="2"/>
        <v>107</v>
      </c>
      <c r="AG76" s="3" t="s">
        <v>405</v>
      </c>
    </row>
    <row r="77" spans="1:33" s="3" customFormat="1" x14ac:dyDescent="0.25">
      <c r="A77" s="3">
        <v>342</v>
      </c>
      <c r="B77" s="3" t="str" cm="1">
        <f t="array" ref="B77">INDEX(Teams!$A$1:$N$1,1,SUMPRODUCT((Teams!$A$2:$N$13=C77&amp;" "&amp;D77)*COLUMN(A:N)))</f>
        <v xml:space="preserve">Rebels  </v>
      </c>
      <c r="C77" s="3" t="s">
        <v>221</v>
      </c>
      <c r="D77" s="3" t="s">
        <v>222</v>
      </c>
      <c r="E77" s="3" t="s">
        <v>31</v>
      </c>
      <c r="F77" s="3" t="s">
        <v>31</v>
      </c>
      <c r="G77" s="3" t="s">
        <v>420</v>
      </c>
      <c r="H77" s="3">
        <v>56</v>
      </c>
      <c r="I77" s="3">
        <v>93</v>
      </c>
      <c r="J77" s="3">
        <v>1</v>
      </c>
      <c r="K77" s="3">
        <v>386</v>
      </c>
      <c r="L77" s="3">
        <v>408</v>
      </c>
      <c r="M77" s="3">
        <v>94.6</v>
      </c>
      <c r="N77" s="4">
        <v>0.436</v>
      </c>
      <c r="O77" s="3">
        <v>180</v>
      </c>
      <c r="P77" s="3">
        <v>233</v>
      </c>
      <c r="Q77" s="4">
        <v>0.26400000000000001</v>
      </c>
      <c r="R77" s="4">
        <v>0.19700000000000001</v>
      </c>
      <c r="S77" s="4">
        <v>0.28199999999999997</v>
      </c>
      <c r="T77" s="3">
        <v>103</v>
      </c>
      <c r="U77" s="3">
        <v>78</v>
      </c>
      <c r="V77" s="3">
        <v>109</v>
      </c>
      <c r="W77" s="3">
        <v>97</v>
      </c>
      <c r="X77" s="3" t="s">
        <v>32</v>
      </c>
      <c r="Y77" s="3" t="s">
        <v>33</v>
      </c>
      <c r="Z77" s="3">
        <v>100</v>
      </c>
      <c r="AA77" s="3">
        <v>3.5</v>
      </c>
      <c r="AB77" s="3">
        <v>5</v>
      </c>
      <c r="AC77" s="3">
        <v>-1</v>
      </c>
      <c r="AD77" s="3">
        <v>2</v>
      </c>
      <c r="AE77" s="3">
        <f t="shared" si="2"/>
        <v>106.5</v>
      </c>
      <c r="AF77" s="3">
        <v>107.5</v>
      </c>
    </row>
    <row r="78" spans="1:33" s="3" customFormat="1" x14ac:dyDescent="0.25">
      <c r="A78" s="3">
        <v>76</v>
      </c>
      <c r="B78" s="3" t="str" cm="1">
        <f t="array" ref="B78">INDEX(Teams!$A$1:$N$1,1,SUMPRODUCT((Teams!$A$2:$N$13=C78&amp;" "&amp;D78)*COLUMN(A:N)))</f>
        <v xml:space="preserve">Shorebirds  </v>
      </c>
      <c r="C78" s="3" t="s">
        <v>66</v>
      </c>
      <c r="D78" s="3" t="s">
        <v>236</v>
      </c>
      <c r="E78" s="3" t="s">
        <v>139</v>
      </c>
      <c r="F78" s="3" t="s">
        <v>139</v>
      </c>
      <c r="G78" s="3" t="s">
        <v>420</v>
      </c>
      <c r="H78" s="3">
        <v>69</v>
      </c>
      <c r="I78" s="3">
        <v>25</v>
      </c>
      <c r="J78" s="3">
        <v>0</v>
      </c>
      <c r="K78" s="3">
        <v>235</v>
      </c>
      <c r="L78" s="3">
        <v>332</v>
      </c>
      <c r="M78" s="3">
        <v>70.8</v>
      </c>
      <c r="N78" s="4">
        <v>0.55700000000000005</v>
      </c>
      <c r="O78" s="3">
        <v>214</v>
      </c>
      <c r="P78" s="3">
        <v>170</v>
      </c>
      <c r="Q78" s="4">
        <v>0.223</v>
      </c>
      <c r="R78" s="4">
        <v>0.31</v>
      </c>
      <c r="S78" s="4">
        <v>0.30099999999999999</v>
      </c>
      <c r="T78" s="3">
        <v>87</v>
      </c>
      <c r="U78" s="3">
        <v>124</v>
      </c>
      <c r="V78" s="3">
        <v>116</v>
      </c>
      <c r="W78" s="3">
        <v>103.9</v>
      </c>
      <c r="X78" s="3" t="s">
        <v>32</v>
      </c>
      <c r="Y78" s="3" t="s">
        <v>33</v>
      </c>
      <c r="Z78" s="3">
        <v>90</v>
      </c>
      <c r="AA78" s="3">
        <v>0.5</v>
      </c>
      <c r="AB78" s="3">
        <v>1</v>
      </c>
      <c r="AC78" s="3">
        <v>1</v>
      </c>
      <c r="AD78" s="3">
        <v>0</v>
      </c>
      <c r="AE78" s="3">
        <f t="shared" si="2"/>
        <v>106.4</v>
      </c>
      <c r="AF78" s="3">
        <v>105.4</v>
      </c>
      <c r="AG78" s="3" t="s">
        <v>237</v>
      </c>
    </row>
    <row r="79" spans="1:33" s="3" customFormat="1" x14ac:dyDescent="0.25">
      <c r="A79" s="3">
        <v>522</v>
      </c>
      <c r="B79" s="3" t="str" cm="1">
        <f t="array" ref="B79">INDEX(Teams!$A$1:$N$1,1,SUMPRODUCT((Teams!$A$2:$N$13=C79&amp;" "&amp;D79)*COLUMN(A:N)))</f>
        <v xml:space="preserve">  Xtreme</v>
      </c>
      <c r="C79" s="3" t="s">
        <v>54</v>
      </c>
      <c r="D79" s="3" t="s">
        <v>223</v>
      </c>
      <c r="E79" s="3" t="s">
        <v>47</v>
      </c>
      <c r="F79" s="3" t="s">
        <v>420</v>
      </c>
      <c r="G79" s="3" t="s">
        <v>477</v>
      </c>
      <c r="H79" s="3">
        <v>72</v>
      </c>
      <c r="I79" s="3">
        <v>86</v>
      </c>
      <c r="J79" s="3">
        <v>0</v>
      </c>
      <c r="K79" s="3">
        <v>138</v>
      </c>
      <c r="L79" s="3">
        <v>161</v>
      </c>
      <c r="M79" s="3">
        <v>85.7</v>
      </c>
      <c r="N79" s="4">
        <v>0.44900000000000001</v>
      </c>
      <c r="O79" s="3">
        <v>62</v>
      </c>
      <c r="P79" s="3">
        <v>76</v>
      </c>
      <c r="Q79" s="4">
        <v>0.27400000000000002</v>
      </c>
      <c r="R79" s="4">
        <v>0.23799999999999999</v>
      </c>
      <c r="S79" s="4">
        <v>0.26700000000000002</v>
      </c>
      <c r="T79" s="3">
        <v>107</v>
      </c>
      <c r="U79" s="3">
        <v>95</v>
      </c>
      <c r="V79" s="3">
        <v>103</v>
      </c>
      <c r="W79" s="3">
        <v>102.7</v>
      </c>
      <c r="X79" s="3" t="s">
        <v>32</v>
      </c>
      <c r="Y79" s="3" t="s">
        <v>33</v>
      </c>
      <c r="Z79" s="3">
        <v>100</v>
      </c>
      <c r="AA79" s="3">
        <v>2.5</v>
      </c>
      <c r="AB79" s="3">
        <v>0</v>
      </c>
      <c r="AC79" s="3">
        <v>0</v>
      </c>
      <c r="AD79" s="3">
        <v>1</v>
      </c>
      <c r="AE79" s="3">
        <f t="shared" si="2"/>
        <v>106.2</v>
      </c>
      <c r="AF79" s="3">
        <v>106.2</v>
      </c>
      <c r="AG79" s="3" t="s">
        <v>224</v>
      </c>
    </row>
    <row r="80" spans="1:33" s="3" customFormat="1" x14ac:dyDescent="0.25">
      <c r="B80" s="3" t="str" cm="1">
        <f t="array" ref="B80">INDEX(Teams!$A$1:$N$1,1,SUMPRODUCT((Teams!$A$2:$N$13=C80&amp;" "&amp;D80)*COLUMN(A:N)))</f>
        <v>Team USA</v>
      </c>
      <c r="C80" s="3" t="s">
        <v>158</v>
      </c>
      <c r="D80" s="3" t="s">
        <v>395</v>
      </c>
      <c r="E80" s="3" t="s">
        <v>47</v>
      </c>
      <c r="F80" s="3" t="s">
        <v>42</v>
      </c>
      <c r="G80" s="3" t="s">
        <v>420</v>
      </c>
      <c r="I80" s="3" t="s">
        <v>396</v>
      </c>
      <c r="J80" s="3" t="s">
        <v>396</v>
      </c>
      <c r="K80" s="3">
        <v>0</v>
      </c>
      <c r="L80" s="3">
        <v>0</v>
      </c>
      <c r="O80" s="3">
        <v>0</v>
      </c>
      <c r="P80" s="3">
        <v>0</v>
      </c>
      <c r="Q80" s="3" t="s">
        <v>396</v>
      </c>
      <c r="Y80" s="3" t="s">
        <v>94</v>
      </c>
      <c r="Z80" s="3">
        <v>0</v>
      </c>
      <c r="AA80" s="3">
        <v>2.5</v>
      </c>
      <c r="AB80" s="3">
        <v>0</v>
      </c>
      <c r="AC80" s="3">
        <v>106</v>
      </c>
      <c r="AD80" s="3">
        <v>0</v>
      </c>
      <c r="AE80" s="3">
        <f t="shared" si="2"/>
        <v>106</v>
      </c>
      <c r="AG80" s="3" t="s">
        <v>151</v>
      </c>
    </row>
    <row r="81" spans="1:33" x14ac:dyDescent="0.25">
      <c r="A81" s="5">
        <v>401</v>
      </c>
      <c r="B81" s="3" t="str" cm="1">
        <f t="array" ref="B81">INDEX(Teams!$A$1:$N$1,1,SUMPRODUCT((Teams!$A$2:$N$13=C81&amp;" "&amp;D81)*COLUMN(A:N)))</f>
        <v xml:space="preserve">  Wolverines</v>
      </c>
      <c r="C81" s="5" t="s">
        <v>225</v>
      </c>
      <c r="D81" s="5" t="s">
        <v>226</v>
      </c>
      <c r="E81" s="5" t="s">
        <v>42</v>
      </c>
      <c r="F81" s="5" t="s">
        <v>42</v>
      </c>
      <c r="G81" s="5" t="s">
        <v>31</v>
      </c>
      <c r="H81" s="5">
        <v>63</v>
      </c>
      <c r="I81" s="5">
        <v>91</v>
      </c>
      <c r="J81" s="5">
        <v>2</v>
      </c>
      <c r="K81" s="5">
        <v>291</v>
      </c>
      <c r="L81" s="5">
        <v>309</v>
      </c>
      <c r="M81" s="5">
        <v>94.2</v>
      </c>
      <c r="N81" s="6">
        <v>0.505</v>
      </c>
      <c r="O81" s="5">
        <v>147</v>
      </c>
      <c r="P81" s="5">
        <v>144</v>
      </c>
      <c r="Q81" s="6">
        <v>0.28599999999999998</v>
      </c>
      <c r="R81" s="6">
        <v>0.22</v>
      </c>
      <c r="S81" s="6">
        <v>0.23100000000000001</v>
      </c>
      <c r="T81" s="5">
        <v>112</v>
      </c>
      <c r="U81" s="5">
        <v>88</v>
      </c>
      <c r="V81" s="5">
        <v>89</v>
      </c>
      <c r="W81" s="5">
        <v>99.9</v>
      </c>
      <c r="X81" s="5" t="s">
        <v>32</v>
      </c>
      <c r="Y81" s="5" t="s">
        <v>33</v>
      </c>
      <c r="Z81" s="5">
        <v>100</v>
      </c>
      <c r="AA81" s="5">
        <v>1</v>
      </c>
      <c r="AB81" s="5">
        <v>3</v>
      </c>
      <c r="AC81" s="5">
        <v>0</v>
      </c>
      <c r="AD81" s="5">
        <v>2</v>
      </c>
      <c r="AE81" s="5">
        <f t="shared" si="2"/>
        <v>105.9</v>
      </c>
      <c r="AF81" s="5">
        <v>105.9</v>
      </c>
      <c r="AG81" s="5"/>
    </row>
    <row r="82" spans="1:33" x14ac:dyDescent="0.25">
      <c r="A82" s="5">
        <v>488</v>
      </c>
      <c r="B82" s="3" t="str" cm="1">
        <f t="array" ref="B82">INDEX(Teams!$A$1:$N$1,1,SUMPRODUCT((Teams!$A$2:$N$13=C82&amp;" "&amp;D82)*COLUMN(A:N)))</f>
        <v xml:space="preserve">  Norsemen</v>
      </c>
      <c r="C82" s="5" t="s">
        <v>158</v>
      </c>
      <c r="D82" s="5" t="s">
        <v>227</v>
      </c>
      <c r="E82" s="5" t="s">
        <v>92</v>
      </c>
      <c r="F82" s="5" t="s">
        <v>438</v>
      </c>
      <c r="G82" s="5" t="s">
        <v>539</v>
      </c>
      <c r="H82" s="5">
        <v>59</v>
      </c>
      <c r="I82" s="5">
        <v>69</v>
      </c>
      <c r="J82" s="5">
        <v>6</v>
      </c>
      <c r="K82" s="5">
        <v>125</v>
      </c>
      <c r="L82" s="5">
        <v>149</v>
      </c>
      <c r="M82" s="5">
        <v>83.9</v>
      </c>
      <c r="N82" s="6">
        <v>0.60799999999999998</v>
      </c>
      <c r="O82" s="5">
        <v>76</v>
      </c>
      <c r="P82" s="5">
        <v>49</v>
      </c>
      <c r="Q82" s="6">
        <v>0.222</v>
      </c>
      <c r="R82" s="6">
        <v>0.25700000000000001</v>
      </c>
      <c r="S82" s="6">
        <v>0.31</v>
      </c>
      <c r="T82" s="5">
        <v>87</v>
      </c>
      <c r="U82" s="5">
        <v>102</v>
      </c>
      <c r="V82" s="5">
        <v>120</v>
      </c>
      <c r="W82" s="5">
        <v>98.1</v>
      </c>
      <c r="X82" s="5" t="s">
        <v>32</v>
      </c>
      <c r="Y82" s="5" t="s">
        <v>33</v>
      </c>
      <c r="Z82" s="5">
        <v>100</v>
      </c>
      <c r="AA82" s="5">
        <v>1.5</v>
      </c>
      <c r="AB82" s="5">
        <v>5</v>
      </c>
      <c r="AC82" s="5">
        <v>0</v>
      </c>
      <c r="AD82" s="5">
        <v>1</v>
      </c>
      <c r="AE82" s="5">
        <f t="shared" si="2"/>
        <v>105.6</v>
      </c>
      <c r="AF82" s="5">
        <v>105.6</v>
      </c>
      <c r="AG82" s="5" t="s">
        <v>151</v>
      </c>
    </row>
    <row r="83" spans="1:33" s="3" customFormat="1" x14ac:dyDescent="0.25">
      <c r="A83" s="3">
        <v>280</v>
      </c>
      <c r="B83" s="3" t="str" cm="1">
        <f t="array" ref="B83">INDEX(Teams!$A$1:$N$1,1,SUMPRODUCT((Teams!$A$2:$N$13=C83&amp;" "&amp;D83)*COLUMN(A:N)))</f>
        <v xml:space="preserve">Shorebirds  </v>
      </c>
      <c r="C83" s="3" t="s">
        <v>51</v>
      </c>
      <c r="D83" s="3" t="s">
        <v>228</v>
      </c>
      <c r="E83" s="3" t="s">
        <v>71</v>
      </c>
      <c r="F83" s="3" t="s">
        <v>71</v>
      </c>
      <c r="G83" s="3" t="s">
        <v>92</v>
      </c>
      <c r="H83" s="3">
        <v>64</v>
      </c>
      <c r="I83" s="3">
        <v>36</v>
      </c>
      <c r="J83" s="3">
        <v>0</v>
      </c>
      <c r="K83" s="3">
        <v>322</v>
      </c>
      <c r="L83" s="3">
        <v>384</v>
      </c>
      <c r="M83" s="3">
        <v>83.9</v>
      </c>
      <c r="N83" s="4">
        <v>0.57499999999999996</v>
      </c>
      <c r="O83" s="3">
        <v>185</v>
      </c>
      <c r="P83" s="3">
        <v>137</v>
      </c>
      <c r="Q83" s="4">
        <v>0.248</v>
      </c>
      <c r="T83" s="3">
        <v>97</v>
      </c>
      <c r="W83" s="3">
        <v>96.5</v>
      </c>
      <c r="X83" s="3" t="s">
        <v>229</v>
      </c>
      <c r="Y83" s="3" t="s">
        <v>33</v>
      </c>
      <c r="Z83" s="3">
        <v>100</v>
      </c>
      <c r="AA83" s="3">
        <v>5</v>
      </c>
      <c r="AB83" s="3">
        <v>3</v>
      </c>
      <c r="AC83" s="3">
        <v>0</v>
      </c>
      <c r="AD83" s="3">
        <v>1</v>
      </c>
      <c r="AE83" s="3">
        <f t="shared" si="2"/>
        <v>105.5</v>
      </c>
      <c r="AF83" s="3">
        <v>105.5</v>
      </c>
    </row>
    <row r="84" spans="1:33" s="3" customFormat="1" x14ac:dyDescent="0.25">
      <c r="A84" s="3">
        <v>422</v>
      </c>
      <c r="B84" s="3" t="str" cm="1">
        <f t="array" ref="B84">INDEX(Teams!$A$1:$N$1,1,SUMPRODUCT((Teams!$A$2:$N$13=C84&amp;" "&amp;D84)*COLUMN(A:N)))</f>
        <v xml:space="preserve">  Buckeyes</v>
      </c>
      <c r="C84" s="3" t="s">
        <v>230</v>
      </c>
      <c r="D84" s="3" t="s">
        <v>231</v>
      </c>
      <c r="E84" s="3" t="s">
        <v>31</v>
      </c>
      <c r="F84" s="3" t="s">
        <v>42</v>
      </c>
      <c r="G84" s="3" t="s">
        <v>31</v>
      </c>
      <c r="H84" s="3">
        <v>62</v>
      </c>
      <c r="I84" s="3">
        <v>67</v>
      </c>
      <c r="J84" s="3">
        <v>0</v>
      </c>
      <c r="K84" s="3">
        <v>271</v>
      </c>
      <c r="L84" s="3">
        <v>305</v>
      </c>
      <c r="M84" s="3">
        <v>88.9</v>
      </c>
      <c r="N84" s="4">
        <v>0.54200000000000004</v>
      </c>
      <c r="O84" s="3">
        <v>147</v>
      </c>
      <c r="P84" s="3">
        <v>124</v>
      </c>
      <c r="Q84" s="4">
        <v>0.27</v>
      </c>
      <c r="R84" s="4">
        <v>0.24099999999999999</v>
      </c>
      <c r="S84" s="4">
        <v>0.21099999999999999</v>
      </c>
      <c r="T84" s="3">
        <v>106</v>
      </c>
      <c r="U84" s="3">
        <v>96</v>
      </c>
      <c r="V84" s="3">
        <v>82</v>
      </c>
      <c r="W84" s="3">
        <v>97.9</v>
      </c>
      <c r="X84" s="3" t="s">
        <v>32</v>
      </c>
      <c r="Y84" s="3" t="s">
        <v>33</v>
      </c>
      <c r="Z84" s="3">
        <v>100</v>
      </c>
      <c r="AA84" s="3">
        <v>3.5</v>
      </c>
      <c r="AB84" s="3">
        <v>3</v>
      </c>
      <c r="AC84" s="3">
        <v>0</v>
      </c>
      <c r="AD84" s="3">
        <v>1</v>
      </c>
      <c r="AE84" s="3">
        <f t="shared" si="2"/>
        <v>105.4</v>
      </c>
      <c r="AF84" s="3">
        <v>105.4</v>
      </c>
      <c r="AG84" s="3" t="s">
        <v>232</v>
      </c>
    </row>
    <row r="85" spans="1:33" s="3" customFormat="1" x14ac:dyDescent="0.25">
      <c r="A85" s="3">
        <v>614</v>
      </c>
      <c r="B85" s="3" t="str" cm="1">
        <f t="array" ref="B85">INDEX(Teams!$A$1:$N$1,1,SUMPRODUCT((Teams!$A$2:$N$13=C85&amp;" "&amp;D85)*COLUMN(A:N)))</f>
        <v>Big Dawgs</v>
      </c>
      <c r="C85" s="3" t="s">
        <v>233</v>
      </c>
      <c r="D85" s="3" t="s">
        <v>234</v>
      </c>
      <c r="E85" s="3" t="s">
        <v>92</v>
      </c>
      <c r="F85" s="3" t="s">
        <v>454</v>
      </c>
      <c r="G85" s="3" t="s">
        <v>583</v>
      </c>
      <c r="H85" s="3">
        <v>59</v>
      </c>
      <c r="I85" s="3">
        <v>80</v>
      </c>
      <c r="J85" s="3">
        <v>1</v>
      </c>
      <c r="K85" s="3">
        <v>22</v>
      </c>
      <c r="L85" s="3">
        <v>22</v>
      </c>
      <c r="M85" s="3">
        <v>100</v>
      </c>
      <c r="N85" s="4">
        <v>0.40899999999999997</v>
      </c>
      <c r="O85" s="3">
        <v>9</v>
      </c>
      <c r="P85" s="3">
        <v>13</v>
      </c>
      <c r="Q85" s="4">
        <v>0.248</v>
      </c>
      <c r="T85" s="3">
        <v>97</v>
      </c>
      <c r="W85" s="3">
        <v>96.9</v>
      </c>
      <c r="X85" s="3" t="s">
        <v>85</v>
      </c>
      <c r="Y85" s="3" t="s">
        <v>86</v>
      </c>
      <c r="Z85" s="3">
        <v>69.099999999999994</v>
      </c>
      <c r="AA85" s="3">
        <v>1.5</v>
      </c>
      <c r="AB85" s="3">
        <v>5</v>
      </c>
      <c r="AC85" s="3">
        <v>0</v>
      </c>
      <c r="AD85" s="3">
        <v>2</v>
      </c>
      <c r="AE85" s="3">
        <f t="shared" si="2"/>
        <v>105.4</v>
      </c>
      <c r="AF85" s="3">
        <v>105.4</v>
      </c>
      <c r="AG85" s="3" t="s">
        <v>235</v>
      </c>
    </row>
    <row r="86" spans="1:33" x14ac:dyDescent="0.25">
      <c r="A86" s="5">
        <v>457</v>
      </c>
      <c r="B86" s="3" t="str" cm="1">
        <f t="array" ref="B86">INDEX(Teams!$A$1:$N$1,1,SUMPRODUCT((Teams!$A$2:$N$13=C86&amp;" "&amp;D86)*COLUMN(A:N)))</f>
        <v>Bad News Bears</v>
      </c>
      <c r="C86" s="5" t="s">
        <v>112</v>
      </c>
      <c r="D86" s="5" t="s">
        <v>238</v>
      </c>
      <c r="E86" s="5" t="s">
        <v>42</v>
      </c>
      <c r="F86" s="5" t="s">
        <v>42</v>
      </c>
      <c r="G86" s="5" t="s">
        <v>449</v>
      </c>
      <c r="H86" s="5">
        <v>56</v>
      </c>
      <c r="I86" s="5">
        <v>85</v>
      </c>
      <c r="J86" s="5">
        <v>6</v>
      </c>
      <c r="K86" s="5">
        <v>238</v>
      </c>
      <c r="L86" s="5">
        <v>249</v>
      </c>
      <c r="M86" s="5">
        <v>95.6</v>
      </c>
      <c r="N86" s="6">
        <v>0.42</v>
      </c>
      <c r="O86" s="5">
        <v>100</v>
      </c>
      <c r="P86" s="5">
        <v>138</v>
      </c>
      <c r="Q86" s="6">
        <v>0.23300000000000001</v>
      </c>
      <c r="R86" s="6">
        <v>0.26</v>
      </c>
      <c r="S86" s="6">
        <v>0.26700000000000002</v>
      </c>
      <c r="T86" s="5">
        <v>91</v>
      </c>
      <c r="U86" s="5">
        <v>104</v>
      </c>
      <c r="V86" s="5">
        <v>103</v>
      </c>
      <c r="W86" s="5">
        <v>97.3</v>
      </c>
      <c r="X86" s="5" t="s">
        <v>32</v>
      </c>
      <c r="Y86" s="5" t="s">
        <v>33</v>
      </c>
      <c r="Z86" s="5">
        <v>100</v>
      </c>
      <c r="AA86" s="5">
        <v>1</v>
      </c>
      <c r="AB86" s="5">
        <v>5</v>
      </c>
      <c r="AC86" s="5">
        <v>0</v>
      </c>
      <c r="AD86" s="5">
        <v>2</v>
      </c>
      <c r="AE86" s="5">
        <f t="shared" si="2"/>
        <v>105.3</v>
      </c>
      <c r="AF86" s="5">
        <v>105.3</v>
      </c>
      <c r="AG86" s="5"/>
    </row>
    <row r="87" spans="1:33" s="3" customFormat="1" x14ac:dyDescent="0.25">
      <c r="A87" s="3">
        <v>424</v>
      </c>
      <c r="B87" s="3" t="str" cm="1">
        <f t="array" ref="B87">INDEX(Teams!$A$1:$N$1,1,SUMPRODUCT((Teams!$A$2:$N$13=C87&amp;" "&amp;D87)*COLUMN(A:N)))</f>
        <v>DEATHSTARS .</v>
      </c>
      <c r="C87" s="3" t="s">
        <v>248</v>
      </c>
      <c r="D87" s="3" t="s">
        <v>249</v>
      </c>
      <c r="E87" s="3" t="s">
        <v>192</v>
      </c>
      <c r="F87" s="3" t="s">
        <v>192</v>
      </c>
      <c r="G87" s="3" t="s">
        <v>192</v>
      </c>
      <c r="H87" s="3">
        <v>63</v>
      </c>
      <c r="I87" s="3">
        <v>0</v>
      </c>
      <c r="J87" s="3">
        <v>0</v>
      </c>
      <c r="K87" s="3">
        <v>22</v>
      </c>
      <c r="L87" s="3">
        <v>63</v>
      </c>
      <c r="M87" s="3">
        <v>34.9</v>
      </c>
      <c r="N87" s="4">
        <v>0.5</v>
      </c>
      <c r="O87" s="3">
        <v>11</v>
      </c>
      <c r="P87" s="3">
        <v>11</v>
      </c>
      <c r="Q87" s="4">
        <v>0</v>
      </c>
      <c r="S87" s="4">
        <v>0.28100000000000003</v>
      </c>
      <c r="T87" s="3">
        <v>0</v>
      </c>
      <c r="V87" s="3">
        <v>109</v>
      </c>
      <c r="W87" s="3">
        <v>103.8</v>
      </c>
      <c r="X87" s="3" t="s">
        <v>250</v>
      </c>
      <c r="Y87" s="3" t="s">
        <v>49</v>
      </c>
      <c r="Z87" s="3">
        <v>82.5</v>
      </c>
      <c r="AA87" s="3">
        <v>0</v>
      </c>
      <c r="AB87" s="3">
        <v>3</v>
      </c>
      <c r="AC87" s="3">
        <v>2</v>
      </c>
      <c r="AD87" s="3">
        <v>-4</v>
      </c>
      <c r="AE87" s="3">
        <f t="shared" si="2"/>
        <v>104.8</v>
      </c>
      <c r="AF87" s="3">
        <v>102.8</v>
      </c>
      <c r="AG87" s="3" t="s">
        <v>251</v>
      </c>
    </row>
    <row r="88" spans="1:33" s="3" customFormat="1" x14ac:dyDescent="0.25">
      <c r="A88" s="3">
        <v>573</v>
      </c>
      <c r="B88" s="3" t="str" cm="1">
        <f t="array" ref="B88">INDEX(Teams!$A$1:$N$1,1,SUMPRODUCT((Teams!$A$2:$N$13=C88&amp;" "&amp;D88)*COLUMN(A:N)))</f>
        <v xml:space="preserve">Shorebirds  </v>
      </c>
      <c r="C88" s="3" t="s">
        <v>137</v>
      </c>
      <c r="D88" s="3" t="s">
        <v>239</v>
      </c>
      <c r="E88" s="3" t="s">
        <v>37</v>
      </c>
      <c r="F88" s="3" t="s">
        <v>420</v>
      </c>
      <c r="G88" s="3" t="s">
        <v>139</v>
      </c>
      <c r="H88" s="3">
        <v>55</v>
      </c>
      <c r="I88" s="3">
        <v>84</v>
      </c>
      <c r="J88" s="3">
        <v>2</v>
      </c>
      <c r="K88" s="3">
        <v>82</v>
      </c>
      <c r="L88" s="3">
        <v>87</v>
      </c>
      <c r="M88" s="3">
        <v>94.3</v>
      </c>
      <c r="N88" s="4">
        <v>0.439</v>
      </c>
      <c r="O88" s="3">
        <v>36</v>
      </c>
      <c r="P88" s="3">
        <v>46</v>
      </c>
      <c r="Q88" s="4">
        <v>0.23899999999999999</v>
      </c>
      <c r="R88" s="4">
        <v>0.248</v>
      </c>
      <c r="S88" s="4">
        <v>0.22</v>
      </c>
      <c r="T88" s="3">
        <v>93</v>
      </c>
      <c r="U88" s="3">
        <v>99</v>
      </c>
      <c r="V88" s="3">
        <v>85</v>
      </c>
      <c r="W88" s="3">
        <v>93.4</v>
      </c>
      <c r="X88" s="3" t="s">
        <v>32</v>
      </c>
      <c r="Y88" s="3" t="s">
        <v>33</v>
      </c>
      <c r="Z88" s="3">
        <v>100</v>
      </c>
      <c r="AA88" s="3">
        <v>4</v>
      </c>
      <c r="AB88" s="3">
        <v>5</v>
      </c>
      <c r="AC88" s="3">
        <v>0</v>
      </c>
      <c r="AD88" s="3">
        <v>2</v>
      </c>
      <c r="AE88" s="3">
        <f t="shared" si="2"/>
        <v>104.4</v>
      </c>
      <c r="AF88" s="3">
        <v>104.4</v>
      </c>
    </row>
    <row r="89" spans="1:33" s="3" customFormat="1" x14ac:dyDescent="0.25">
      <c r="A89" s="3">
        <v>579</v>
      </c>
      <c r="B89" s="3" t="str" cm="1">
        <f t="array" ref="B89">INDEX(Teams!$A$1:$N$1,1,SUMPRODUCT((Teams!$A$2:$N$13=C89&amp;" "&amp;D89)*COLUMN(A:N)))</f>
        <v>Big Dawgs</v>
      </c>
      <c r="C89" s="3" t="s">
        <v>104</v>
      </c>
      <c r="D89" s="3" t="s">
        <v>240</v>
      </c>
      <c r="E89" s="3" t="s">
        <v>136</v>
      </c>
      <c r="F89" s="3" t="s">
        <v>136</v>
      </c>
      <c r="G89" s="3" t="s">
        <v>568</v>
      </c>
      <c r="H89" s="3">
        <v>60</v>
      </c>
      <c r="I89" s="3">
        <v>88</v>
      </c>
      <c r="J89" s="3">
        <v>2</v>
      </c>
      <c r="K89" s="3">
        <v>58</v>
      </c>
      <c r="L89" s="3">
        <v>65</v>
      </c>
      <c r="M89" s="3">
        <v>89.2</v>
      </c>
      <c r="N89" s="4">
        <v>0.61399999999999999</v>
      </c>
      <c r="O89" s="3">
        <v>35</v>
      </c>
      <c r="P89" s="3">
        <v>22</v>
      </c>
      <c r="Q89" s="4">
        <v>0.22700000000000001</v>
      </c>
      <c r="R89" s="4">
        <v>0.25600000000000001</v>
      </c>
      <c r="S89" s="4">
        <v>0.30199999999999999</v>
      </c>
      <c r="T89" s="3">
        <v>89</v>
      </c>
      <c r="U89" s="3">
        <v>102</v>
      </c>
      <c r="V89" s="3">
        <v>117</v>
      </c>
      <c r="W89" s="3">
        <v>98.4</v>
      </c>
      <c r="X89" s="3" t="s">
        <v>32</v>
      </c>
      <c r="Y89" s="3" t="s">
        <v>33</v>
      </c>
      <c r="Z89" s="3">
        <v>100</v>
      </c>
      <c r="AA89" s="3">
        <v>2</v>
      </c>
      <c r="AB89" s="3">
        <v>3</v>
      </c>
      <c r="AC89" s="3">
        <v>0</v>
      </c>
      <c r="AD89" s="3">
        <v>1</v>
      </c>
      <c r="AE89" s="3">
        <f t="shared" si="2"/>
        <v>104.4</v>
      </c>
      <c r="AF89" s="3">
        <v>104.4</v>
      </c>
    </row>
    <row r="90" spans="1:33" s="3" customFormat="1" x14ac:dyDescent="0.25">
      <c r="A90" s="3">
        <v>483</v>
      </c>
      <c r="B90" s="3" t="str" cm="1">
        <f t="array" ref="B90">INDEX(Teams!$A$1:$N$1,1,SUMPRODUCT((Teams!$A$2:$N$13=C90&amp;" "&amp;D90)*COLUMN(A:N)))</f>
        <v xml:space="preserve">  Xtreme</v>
      </c>
      <c r="C90" s="3" t="s">
        <v>245</v>
      </c>
      <c r="D90" s="3" t="s">
        <v>246</v>
      </c>
      <c r="E90" s="3" t="s">
        <v>139</v>
      </c>
      <c r="F90" s="3" t="s">
        <v>42</v>
      </c>
      <c r="G90" s="3" t="s">
        <v>466</v>
      </c>
      <c r="H90" s="3">
        <v>67</v>
      </c>
      <c r="I90" s="3">
        <v>86</v>
      </c>
      <c r="J90" s="3">
        <v>1</v>
      </c>
      <c r="K90" s="3">
        <v>164</v>
      </c>
      <c r="L90" s="3">
        <v>184</v>
      </c>
      <c r="M90" s="3">
        <v>89.1</v>
      </c>
      <c r="N90" s="4">
        <v>0.5</v>
      </c>
      <c r="O90" s="3">
        <v>82</v>
      </c>
      <c r="P90" s="3">
        <v>82</v>
      </c>
      <c r="Q90" s="4">
        <v>0.24299999999999999</v>
      </c>
      <c r="R90" s="4">
        <v>0.27500000000000002</v>
      </c>
      <c r="S90" s="4">
        <v>0.27300000000000002</v>
      </c>
      <c r="T90" s="3">
        <v>95</v>
      </c>
      <c r="U90" s="3">
        <v>110</v>
      </c>
      <c r="V90" s="3">
        <v>105</v>
      </c>
      <c r="W90" s="3">
        <v>101.5</v>
      </c>
      <c r="X90" s="3" t="s">
        <v>32</v>
      </c>
      <c r="Y90" s="3" t="s">
        <v>33</v>
      </c>
      <c r="Z90" s="3">
        <v>100</v>
      </c>
      <c r="AA90" s="3">
        <v>0.5</v>
      </c>
      <c r="AB90" s="3">
        <v>1</v>
      </c>
      <c r="AC90" s="3">
        <v>-1</v>
      </c>
      <c r="AD90" s="3">
        <v>1</v>
      </c>
      <c r="AE90" s="3">
        <f t="shared" si="2"/>
        <v>103</v>
      </c>
      <c r="AF90" s="3">
        <v>104</v>
      </c>
      <c r="AG90" s="3" t="s">
        <v>247</v>
      </c>
    </row>
    <row r="91" spans="1:33" s="3" customFormat="1" x14ac:dyDescent="0.25">
      <c r="A91" s="3">
        <v>452</v>
      </c>
      <c r="B91" s="3" t="str" cm="1">
        <f t="array" ref="B91">INDEX(Teams!$A$1:$N$1,1,SUMPRODUCT((Teams!$A$2:$N$13=C91&amp;" "&amp;D91)*COLUMN(A:N)))</f>
        <v xml:space="preserve">Tigers   </v>
      </c>
      <c r="C91" s="3" t="s">
        <v>46</v>
      </c>
      <c r="D91" s="3" t="s">
        <v>255</v>
      </c>
      <c r="E91" s="3" t="s">
        <v>47</v>
      </c>
      <c r="F91" s="3" t="s">
        <v>425</v>
      </c>
      <c r="G91" s="3" t="s">
        <v>425</v>
      </c>
      <c r="H91" s="3">
        <v>70</v>
      </c>
      <c r="I91" s="3">
        <v>0</v>
      </c>
      <c r="J91" s="3">
        <v>0</v>
      </c>
      <c r="K91" s="3">
        <v>120</v>
      </c>
      <c r="L91" s="3">
        <v>170</v>
      </c>
      <c r="M91" s="3">
        <v>70.599999999999994</v>
      </c>
      <c r="N91" s="4">
        <v>0.40799999999999997</v>
      </c>
      <c r="O91" s="3">
        <v>49</v>
      </c>
      <c r="P91" s="3">
        <v>71</v>
      </c>
      <c r="Q91" s="4">
        <v>0</v>
      </c>
      <c r="R91" s="4">
        <v>0.214</v>
      </c>
      <c r="S91" s="4">
        <v>0.30399999999999999</v>
      </c>
      <c r="T91" s="3">
        <v>0</v>
      </c>
      <c r="U91" s="3">
        <v>85</v>
      </c>
      <c r="V91" s="3">
        <v>117</v>
      </c>
      <c r="W91" s="3">
        <v>100</v>
      </c>
      <c r="X91" s="3" t="s">
        <v>176</v>
      </c>
      <c r="Y91" s="3" t="s">
        <v>33</v>
      </c>
      <c r="Z91" s="3">
        <v>92</v>
      </c>
      <c r="AA91" s="3">
        <v>2.5</v>
      </c>
      <c r="AB91" s="3">
        <v>0</v>
      </c>
      <c r="AC91" s="3">
        <v>0</v>
      </c>
      <c r="AD91" s="3">
        <v>0</v>
      </c>
      <c r="AE91" s="3">
        <f t="shared" si="2"/>
        <v>102.5</v>
      </c>
      <c r="AF91" s="3">
        <v>102.5</v>
      </c>
      <c r="AG91" s="3" t="s">
        <v>256</v>
      </c>
    </row>
    <row r="92" spans="1:33" s="3" customFormat="1" x14ac:dyDescent="0.25">
      <c r="A92" s="3">
        <v>517</v>
      </c>
      <c r="B92" s="3" t="str" cm="1">
        <f t="array" ref="B92">INDEX(Teams!$A$1:$N$1,1,SUMPRODUCT((Teams!$A$2:$N$13=C92&amp;" "&amp;D92)*COLUMN(A:N)))</f>
        <v>DEATHSTARS .</v>
      </c>
      <c r="C92" s="3" t="s">
        <v>215</v>
      </c>
      <c r="D92" s="3" t="s">
        <v>257</v>
      </c>
      <c r="E92" s="3" t="s">
        <v>77</v>
      </c>
      <c r="F92" s="3" t="s">
        <v>420</v>
      </c>
      <c r="G92" s="3" t="s">
        <v>420</v>
      </c>
      <c r="H92" s="3">
        <v>70</v>
      </c>
      <c r="I92" s="3">
        <v>78</v>
      </c>
      <c r="J92" s="3">
        <v>0</v>
      </c>
      <c r="K92" s="3">
        <v>147</v>
      </c>
      <c r="L92" s="3">
        <v>163</v>
      </c>
      <c r="M92" s="3">
        <v>90.2</v>
      </c>
      <c r="N92" s="4">
        <v>0.61199999999999999</v>
      </c>
      <c r="O92" s="3">
        <v>90</v>
      </c>
      <c r="P92" s="3">
        <v>57</v>
      </c>
      <c r="Q92" s="4">
        <v>0.253</v>
      </c>
      <c r="R92" s="4">
        <v>0.21299999999999999</v>
      </c>
      <c r="S92" s="4">
        <v>0.27600000000000002</v>
      </c>
      <c r="T92" s="3">
        <v>99</v>
      </c>
      <c r="U92" s="3">
        <v>85</v>
      </c>
      <c r="V92" s="3">
        <v>107</v>
      </c>
      <c r="W92" s="3">
        <v>96.4</v>
      </c>
      <c r="X92" s="3" t="s">
        <v>32</v>
      </c>
      <c r="Y92" s="3" t="s">
        <v>33</v>
      </c>
      <c r="Z92" s="3">
        <v>100</v>
      </c>
      <c r="AA92" s="3">
        <v>4</v>
      </c>
      <c r="AB92" s="3">
        <v>0</v>
      </c>
      <c r="AC92" s="3">
        <v>0</v>
      </c>
      <c r="AD92" s="3">
        <v>2</v>
      </c>
      <c r="AE92" s="3">
        <f t="shared" si="2"/>
        <v>102.4</v>
      </c>
      <c r="AF92" s="3">
        <v>102.4</v>
      </c>
    </row>
    <row r="93" spans="1:33" s="3" customFormat="1" x14ac:dyDescent="0.25">
      <c r="A93" s="3">
        <v>525</v>
      </c>
      <c r="B93" s="3" t="str" cm="1">
        <f t="array" ref="B93">INDEX(Teams!$A$1:$N$1,1,SUMPRODUCT((Teams!$A$2:$N$13=C93&amp;" "&amp;D93)*COLUMN(A:N)))</f>
        <v xml:space="preserve">Shorebirds  </v>
      </c>
      <c r="C93" s="3" t="s">
        <v>258</v>
      </c>
      <c r="D93" s="3" t="s">
        <v>259</v>
      </c>
      <c r="E93" s="3" t="s">
        <v>92</v>
      </c>
      <c r="F93" s="3" t="s">
        <v>477</v>
      </c>
      <c r="G93" s="3" t="s">
        <v>586</v>
      </c>
      <c r="H93" s="3">
        <v>59</v>
      </c>
      <c r="I93" s="3">
        <v>84</v>
      </c>
      <c r="J93" s="3">
        <v>4</v>
      </c>
      <c r="K93" s="3">
        <v>119</v>
      </c>
      <c r="L93" s="3">
        <v>125</v>
      </c>
      <c r="M93" s="3">
        <v>95.2</v>
      </c>
      <c r="N93" s="4">
        <v>0.39500000000000002</v>
      </c>
      <c r="O93" s="3">
        <v>47</v>
      </c>
      <c r="P93" s="3">
        <v>72</v>
      </c>
      <c r="Q93" s="4">
        <v>0.26100000000000001</v>
      </c>
      <c r="S93" s="4">
        <v>0.218</v>
      </c>
      <c r="T93" s="3">
        <v>102</v>
      </c>
      <c r="V93" s="3">
        <v>84</v>
      </c>
      <c r="W93" s="3">
        <v>93.3</v>
      </c>
      <c r="X93" s="3" t="s">
        <v>56</v>
      </c>
      <c r="Y93" s="3" t="s">
        <v>33</v>
      </c>
      <c r="Z93" s="3">
        <v>100</v>
      </c>
      <c r="AA93" s="3">
        <v>1.5</v>
      </c>
      <c r="AB93" s="3">
        <v>5</v>
      </c>
      <c r="AC93" s="3">
        <v>0</v>
      </c>
      <c r="AD93" s="3">
        <v>2</v>
      </c>
      <c r="AE93" s="3">
        <f t="shared" si="2"/>
        <v>101.8</v>
      </c>
      <c r="AF93" s="3">
        <v>101.8</v>
      </c>
      <c r="AG93" s="3" t="s">
        <v>260</v>
      </c>
    </row>
    <row r="94" spans="1:33" s="3" customFormat="1" x14ac:dyDescent="0.25">
      <c r="A94" s="3">
        <v>591</v>
      </c>
      <c r="B94" s="3" t="str" cm="1">
        <f t="array" ref="B94">INDEX(Teams!$A$1:$N$1,1,SUMPRODUCT((Teams!$A$2:$N$13=C94&amp;" "&amp;D94)*COLUMN(A:N)))</f>
        <v xml:space="preserve">Tigers   </v>
      </c>
      <c r="C94" s="3" t="s">
        <v>158</v>
      </c>
      <c r="D94" s="3" t="s">
        <v>263</v>
      </c>
      <c r="E94" s="3" t="s">
        <v>136</v>
      </c>
      <c r="F94" s="3" t="s">
        <v>539</v>
      </c>
      <c r="G94" s="3" t="s">
        <v>459</v>
      </c>
      <c r="H94" s="3">
        <v>62</v>
      </c>
      <c r="I94" s="3">
        <v>0</v>
      </c>
      <c r="J94" s="3">
        <v>0</v>
      </c>
      <c r="K94" s="3">
        <v>20</v>
      </c>
      <c r="L94" s="3">
        <v>22</v>
      </c>
      <c r="M94" s="3">
        <v>90.9</v>
      </c>
      <c r="N94" s="4">
        <v>0.55000000000000004</v>
      </c>
      <c r="O94" s="3">
        <v>11</v>
      </c>
      <c r="P94" s="3">
        <v>9</v>
      </c>
      <c r="Q94" s="4">
        <v>0</v>
      </c>
      <c r="S94" s="4">
        <v>0.24399999999999999</v>
      </c>
      <c r="T94" s="3">
        <v>0</v>
      </c>
      <c r="V94" s="3">
        <v>94</v>
      </c>
      <c r="W94" s="3">
        <v>94.2</v>
      </c>
      <c r="X94" s="3" t="s">
        <v>102</v>
      </c>
      <c r="Y94" s="3" t="s">
        <v>86</v>
      </c>
      <c r="Z94" s="3">
        <v>69.099999999999994</v>
      </c>
      <c r="AA94" s="3">
        <v>2</v>
      </c>
      <c r="AB94" s="3">
        <v>3</v>
      </c>
      <c r="AC94" s="3">
        <v>0</v>
      </c>
      <c r="AD94" s="3">
        <v>2</v>
      </c>
      <c r="AE94" s="3">
        <f t="shared" si="2"/>
        <v>101.2</v>
      </c>
      <c r="AF94" s="3">
        <v>101.2</v>
      </c>
      <c r="AG94" s="3" t="s">
        <v>264</v>
      </c>
    </row>
    <row r="95" spans="1:33" s="3" customFormat="1" x14ac:dyDescent="0.25">
      <c r="A95" s="3">
        <v>313</v>
      </c>
      <c r="B95" s="3" t="str" cm="1">
        <f t="array" ref="B95">INDEX(Teams!$A$1:$N$1,1,SUMPRODUCT((Teams!$A$2:$N$13=C95&amp;" "&amp;D95)*COLUMN(A:N)))</f>
        <v xml:space="preserve">  Buckeyes</v>
      </c>
      <c r="C95" s="3" t="s">
        <v>265</v>
      </c>
      <c r="D95" s="3" t="s">
        <v>266</v>
      </c>
      <c r="E95" s="3" t="s">
        <v>92</v>
      </c>
      <c r="F95" s="3" t="s">
        <v>92</v>
      </c>
      <c r="G95" s="3" t="s">
        <v>139</v>
      </c>
      <c r="H95" s="3">
        <v>72</v>
      </c>
      <c r="I95" s="3">
        <v>67</v>
      </c>
      <c r="J95" s="3">
        <v>0</v>
      </c>
      <c r="K95" s="3">
        <v>307</v>
      </c>
      <c r="L95" s="3">
        <v>407</v>
      </c>
      <c r="M95" s="3">
        <v>75.400000000000006</v>
      </c>
      <c r="N95" s="4">
        <v>0.48499999999999999</v>
      </c>
      <c r="O95" s="3">
        <v>149</v>
      </c>
      <c r="P95" s="3">
        <v>158</v>
      </c>
      <c r="Q95" s="4">
        <v>0.25800000000000001</v>
      </c>
      <c r="R95" s="4">
        <v>0.22700000000000001</v>
      </c>
      <c r="S95" s="4">
        <v>0.28299999999999997</v>
      </c>
      <c r="T95" s="3">
        <v>101</v>
      </c>
      <c r="U95" s="3">
        <v>90</v>
      </c>
      <c r="V95" s="3">
        <v>109</v>
      </c>
      <c r="W95" s="3">
        <v>99.5</v>
      </c>
      <c r="X95" s="3" t="s">
        <v>32</v>
      </c>
      <c r="Y95" s="3" t="s">
        <v>33</v>
      </c>
      <c r="Z95" s="3">
        <v>100</v>
      </c>
      <c r="AA95" s="3">
        <v>1.5</v>
      </c>
      <c r="AB95" s="3">
        <v>0</v>
      </c>
      <c r="AC95" s="3">
        <v>0</v>
      </c>
      <c r="AD95" s="3">
        <v>0</v>
      </c>
      <c r="AE95" s="3">
        <f t="shared" si="2"/>
        <v>101</v>
      </c>
      <c r="AF95" s="3">
        <v>101</v>
      </c>
    </row>
    <row r="96" spans="1:33" s="3" customFormat="1" x14ac:dyDescent="0.25">
      <c r="A96" s="3">
        <v>170</v>
      </c>
      <c r="B96" s="3" t="str" cm="1">
        <f t="array" ref="B96">INDEX(Teams!$A$1:$N$1,1,SUMPRODUCT((Teams!$A$2:$N$13=C96&amp;" "&amp;D96)*COLUMN(A:N)))</f>
        <v xml:space="preserve">Gunslingers  </v>
      </c>
      <c r="C96" s="3" t="s">
        <v>261</v>
      </c>
      <c r="D96" s="3" t="s">
        <v>262</v>
      </c>
      <c r="E96" s="3" t="s">
        <v>42</v>
      </c>
      <c r="F96" s="3" t="s">
        <v>42</v>
      </c>
      <c r="G96" s="3" t="s">
        <v>139</v>
      </c>
      <c r="H96" s="3">
        <v>72</v>
      </c>
      <c r="I96" s="3">
        <v>79</v>
      </c>
      <c r="J96" s="3">
        <v>0</v>
      </c>
      <c r="K96" s="3">
        <v>279</v>
      </c>
      <c r="L96" s="3">
        <v>374</v>
      </c>
      <c r="M96" s="3">
        <v>74.599999999999994</v>
      </c>
      <c r="N96" s="4">
        <v>0.55200000000000005</v>
      </c>
      <c r="O96" s="3">
        <v>296</v>
      </c>
      <c r="P96" s="3">
        <v>240</v>
      </c>
      <c r="Q96" s="4">
        <v>0.27100000000000002</v>
      </c>
      <c r="R96" s="4">
        <v>0.24</v>
      </c>
      <c r="S96" s="4">
        <v>0.24299999999999999</v>
      </c>
      <c r="T96" s="3">
        <v>106</v>
      </c>
      <c r="U96" s="3">
        <v>96</v>
      </c>
      <c r="V96" s="3">
        <v>94</v>
      </c>
      <c r="W96" s="3">
        <v>100.4</v>
      </c>
      <c r="X96" s="3" t="s">
        <v>32</v>
      </c>
      <c r="Y96" s="3" t="s">
        <v>33</v>
      </c>
      <c r="Z96" s="3">
        <v>100</v>
      </c>
      <c r="AA96" s="3">
        <v>1</v>
      </c>
      <c r="AB96" s="3">
        <v>0</v>
      </c>
      <c r="AC96" s="3">
        <v>-1</v>
      </c>
      <c r="AD96" s="3">
        <v>0</v>
      </c>
      <c r="AE96" s="3">
        <f t="shared" si="2"/>
        <v>100.4</v>
      </c>
      <c r="AF96" s="3">
        <v>101.4</v>
      </c>
      <c r="AG96" s="3" t="s">
        <v>173</v>
      </c>
    </row>
    <row r="97" spans="1:33" s="3" customFormat="1" x14ac:dyDescent="0.25">
      <c r="A97" s="3">
        <v>547</v>
      </c>
      <c r="B97" s="3" t="str" cm="1">
        <f t="array" ref="B97">INDEX(Teams!$A$1:$N$1,1,SUMPRODUCT((Teams!$A$2:$N$13=C97&amp;" "&amp;D97)*COLUMN(A:N)))</f>
        <v xml:space="preserve">Gunslingers  </v>
      </c>
      <c r="C97" s="3" t="s">
        <v>241</v>
      </c>
      <c r="D97" s="3" t="s">
        <v>242</v>
      </c>
      <c r="E97" s="3" t="s">
        <v>192</v>
      </c>
      <c r="F97" s="3" t="s">
        <v>420</v>
      </c>
      <c r="G97" s="3" t="s">
        <v>139</v>
      </c>
      <c r="H97" s="3">
        <v>62</v>
      </c>
      <c r="I97" s="3">
        <v>0</v>
      </c>
      <c r="J97" s="3">
        <v>0</v>
      </c>
      <c r="K97" s="3">
        <v>54</v>
      </c>
      <c r="L97" s="3">
        <v>63</v>
      </c>
      <c r="M97" s="3">
        <v>85.7</v>
      </c>
      <c r="N97" s="4">
        <v>0.5</v>
      </c>
      <c r="O97" s="3">
        <v>27</v>
      </c>
      <c r="P97" s="3">
        <v>27</v>
      </c>
      <c r="Q97" s="4">
        <v>0</v>
      </c>
      <c r="T97" s="3">
        <v>0</v>
      </c>
      <c r="W97" s="3">
        <v>100.3</v>
      </c>
      <c r="X97" s="3" t="s">
        <v>243</v>
      </c>
      <c r="Y97" s="3" t="s">
        <v>49</v>
      </c>
      <c r="Z97" s="3">
        <v>84</v>
      </c>
      <c r="AA97" s="3">
        <v>0</v>
      </c>
      <c r="AB97" s="3">
        <v>3</v>
      </c>
      <c r="AC97" s="3">
        <v>-4</v>
      </c>
      <c r="AD97" s="3">
        <v>1</v>
      </c>
      <c r="AE97" s="3">
        <f t="shared" si="2"/>
        <v>100.3</v>
      </c>
      <c r="AF97" s="3">
        <v>104.3</v>
      </c>
      <c r="AG97" s="3" t="s">
        <v>244</v>
      </c>
    </row>
    <row r="98" spans="1:33" s="3" customFormat="1" x14ac:dyDescent="0.25">
      <c r="A98" s="3">
        <v>539</v>
      </c>
      <c r="B98" s="3" t="str" cm="1">
        <f t="array" ref="B98">INDEX(Teams!$A$1:$N$1,1,SUMPRODUCT((Teams!$A$2:$N$13=C98&amp;" "&amp;D98)*COLUMN(A:N)))</f>
        <v xml:space="preserve">Shorebirds  </v>
      </c>
      <c r="C98" s="3" t="s">
        <v>112</v>
      </c>
      <c r="D98" s="3" t="s">
        <v>270</v>
      </c>
      <c r="E98" s="3" t="s">
        <v>71</v>
      </c>
      <c r="F98" s="3" t="s">
        <v>601</v>
      </c>
      <c r="G98" s="3" t="s">
        <v>477</v>
      </c>
      <c r="H98" s="3">
        <v>60</v>
      </c>
      <c r="I98" s="3">
        <v>65</v>
      </c>
      <c r="J98" s="3">
        <v>1</v>
      </c>
      <c r="K98" s="3">
        <v>110</v>
      </c>
      <c r="L98" s="3">
        <v>128</v>
      </c>
      <c r="M98" s="3">
        <v>85.9</v>
      </c>
      <c r="N98" s="4">
        <v>0.64500000000000002</v>
      </c>
      <c r="O98" s="3">
        <v>71</v>
      </c>
      <c r="P98" s="3">
        <v>39</v>
      </c>
      <c r="Q98" s="4">
        <v>0.20100000000000001</v>
      </c>
      <c r="R98" s="4">
        <v>0.252</v>
      </c>
      <c r="S98" s="4">
        <v>0.28399999999999997</v>
      </c>
      <c r="T98" s="3">
        <v>79</v>
      </c>
      <c r="U98" s="3">
        <v>100</v>
      </c>
      <c r="V98" s="3">
        <v>110</v>
      </c>
      <c r="W98" s="3">
        <v>91.2</v>
      </c>
      <c r="X98" s="3" t="s">
        <v>32</v>
      </c>
      <c r="Y98" s="3" t="s">
        <v>33</v>
      </c>
      <c r="Z98" s="3">
        <v>100</v>
      </c>
      <c r="AA98" s="3">
        <v>5</v>
      </c>
      <c r="AB98" s="3">
        <v>3</v>
      </c>
      <c r="AC98" s="3">
        <v>0</v>
      </c>
      <c r="AD98" s="3">
        <v>1</v>
      </c>
      <c r="AE98" s="3">
        <f t="shared" ref="AE98:AE129" si="3">AF98+AC98</f>
        <v>100.2</v>
      </c>
      <c r="AF98" s="3">
        <v>100.2</v>
      </c>
      <c r="AG98" s="3" t="s">
        <v>271</v>
      </c>
    </row>
    <row r="99" spans="1:33" s="3" customFormat="1" x14ac:dyDescent="0.25">
      <c r="A99" s="3">
        <v>181</v>
      </c>
      <c r="B99" s="3" t="str" cm="1">
        <f t="array" ref="B99">INDEX(Teams!$A$1:$N$1,1,SUMPRODUCT((Teams!$A$2:$N$13=C99&amp;" "&amp;D99)*COLUMN(A:N)))</f>
        <v>Lightning Strikes</v>
      </c>
      <c r="C99" s="3" t="s">
        <v>29</v>
      </c>
      <c r="D99" s="3" t="s">
        <v>267</v>
      </c>
      <c r="E99" s="3" t="s">
        <v>77</v>
      </c>
      <c r="F99" s="3" t="s">
        <v>31</v>
      </c>
      <c r="G99" s="3" t="s">
        <v>420</v>
      </c>
      <c r="H99" s="3">
        <v>67</v>
      </c>
      <c r="I99" s="3">
        <v>0</v>
      </c>
      <c r="J99" s="3">
        <v>0</v>
      </c>
      <c r="K99" s="3">
        <v>294</v>
      </c>
      <c r="L99" s="3">
        <v>377</v>
      </c>
      <c r="M99" s="3">
        <v>78</v>
      </c>
      <c r="N99" s="4">
        <v>0.59499999999999997</v>
      </c>
      <c r="O99" s="3">
        <v>173</v>
      </c>
      <c r="P99" s="3">
        <v>118</v>
      </c>
      <c r="Q99" s="4">
        <v>0</v>
      </c>
      <c r="S99" s="4">
        <v>0.224</v>
      </c>
      <c r="T99" s="3">
        <v>0</v>
      </c>
      <c r="V99" s="3">
        <v>87</v>
      </c>
      <c r="W99" s="3">
        <v>96</v>
      </c>
      <c r="X99" s="3" t="s">
        <v>268</v>
      </c>
      <c r="Y99" s="3" t="s">
        <v>33</v>
      </c>
      <c r="Z99" s="3">
        <v>100</v>
      </c>
      <c r="AA99" s="3">
        <v>4</v>
      </c>
      <c r="AB99" s="3">
        <v>1</v>
      </c>
      <c r="AC99" s="3">
        <v>-1</v>
      </c>
      <c r="AD99" s="3">
        <v>0</v>
      </c>
      <c r="AE99" s="3">
        <f t="shared" si="3"/>
        <v>100</v>
      </c>
      <c r="AF99" s="3">
        <v>101</v>
      </c>
      <c r="AG99" s="3" t="s">
        <v>269</v>
      </c>
    </row>
    <row r="100" spans="1:33" s="3" customFormat="1" x14ac:dyDescent="0.25">
      <c r="A100" s="3">
        <v>486</v>
      </c>
      <c r="B100" s="3" t="str" cm="1">
        <f t="array" ref="B100">INDEX(Teams!$A$1:$N$1,1,SUMPRODUCT((Teams!$A$2:$N$13=C100&amp;" "&amp;D100)*COLUMN(A:N)))</f>
        <v>DEATHSTARS .</v>
      </c>
      <c r="C100" s="3" t="s">
        <v>98</v>
      </c>
      <c r="D100" s="3" t="s">
        <v>285</v>
      </c>
      <c r="E100" s="3" t="s">
        <v>77</v>
      </c>
      <c r="F100" s="3" t="s">
        <v>420</v>
      </c>
      <c r="G100" s="3" t="s">
        <v>71</v>
      </c>
      <c r="H100" s="3">
        <v>65</v>
      </c>
      <c r="I100" s="3">
        <v>0</v>
      </c>
      <c r="J100" s="3">
        <v>0</v>
      </c>
      <c r="K100" s="3">
        <v>57</v>
      </c>
      <c r="L100" s="3">
        <v>65</v>
      </c>
      <c r="M100" s="3">
        <v>87.7</v>
      </c>
      <c r="N100" s="4">
        <v>0.71899999999999997</v>
      </c>
      <c r="O100" s="3">
        <v>41</v>
      </c>
      <c r="P100" s="3">
        <v>16</v>
      </c>
      <c r="Q100" s="4">
        <v>0</v>
      </c>
      <c r="S100" s="4">
        <v>0.20399999999999999</v>
      </c>
      <c r="T100" s="3">
        <v>0</v>
      </c>
      <c r="V100" s="3">
        <v>79</v>
      </c>
      <c r="W100" s="3">
        <v>91</v>
      </c>
      <c r="X100" s="3" t="s">
        <v>43</v>
      </c>
      <c r="Y100" s="3" t="s">
        <v>33</v>
      </c>
      <c r="Z100" s="3">
        <v>100</v>
      </c>
      <c r="AA100" s="3">
        <v>4</v>
      </c>
      <c r="AB100" s="3">
        <v>1</v>
      </c>
      <c r="AC100" s="3">
        <v>3</v>
      </c>
      <c r="AD100" s="3">
        <v>1</v>
      </c>
      <c r="AE100" s="3">
        <f t="shared" si="3"/>
        <v>100</v>
      </c>
      <c r="AF100" s="3">
        <v>97</v>
      </c>
    </row>
    <row r="101" spans="1:33" s="3" customFormat="1" x14ac:dyDescent="0.25">
      <c r="B101" s="3" t="str" cm="1">
        <f t="array" ref="B101">INDEX(Teams!$A$1:$N$1,1,SUMPRODUCT((Teams!$A$2:$N$13=C101&amp;" "&amp;D101)*COLUMN(A:N)))</f>
        <v>Big Dawgs</v>
      </c>
      <c r="C101" s="3" t="s">
        <v>120</v>
      </c>
      <c r="D101" s="3" t="s">
        <v>411</v>
      </c>
      <c r="E101" s="3" t="s">
        <v>47</v>
      </c>
      <c r="F101" s="3" t="s">
        <v>420</v>
      </c>
      <c r="G101" s="3" t="s">
        <v>92</v>
      </c>
      <c r="I101" s="3" t="s">
        <v>396</v>
      </c>
      <c r="J101" s="3" t="s">
        <v>396</v>
      </c>
      <c r="K101" s="3">
        <v>0</v>
      </c>
      <c r="L101" s="3">
        <v>0</v>
      </c>
      <c r="O101" s="3">
        <v>0</v>
      </c>
      <c r="P101" s="3">
        <v>0</v>
      </c>
      <c r="Q101" s="3" t="s">
        <v>396</v>
      </c>
      <c r="Y101" s="3" t="s">
        <v>94</v>
      </c>
      <c r="Z101" s="3">
        <v>0</v>
      </c>
      <c r="AA101" s="3">
        <v>2.5</v>
      </c>
      <c r="AB101" s="3">
        <v>0</v>
      </c>
      <c r="AC101" s="3">
        <v>100</v>
      </c>
      <c r="AD101" s="3">
        <v>0</v>
      </c>
      <c r="AE101" s="3">
        <f t="shared" si="3"/>
        <v>100</v>
      </c>
      <c r="AG101" s="3" t="s">
        <v>412</v>
      </c>
    </row>
    <row r="102" spans="1:33" s="3" customFormat="1" x14ac:dyDescent="0.25">
      <c r="A102" s="3">
        <v>175</v>
      </c>
      <c r="B102" s="3" t="str" cm="1">
        <f t="array" ref="B102">INDEX(Teams!$A$1:$N$1,1,SUMPRODUCT((Teams!$A$2:$N$13=C102&amp;" "&amp;D102)*COLUMN(A:N)))</f>
        <v xml:space="preserve">  Xtreme</v>
      </c>
      <c r="C102" s="3" t="s">
        <v>66</v>
      </c>
      <c r="D102" s="3" t="s">
        <v>272</v>
      </c>
      <c r="E102" s="3" t="s">
        <v>92</v>
      </c>
      <c r="F102" s="3" t="s">
        <v>477</v>
      </c>
      <c r="G102" s="3" t="s">
        <v>139</v>
      </c>
      <c r="H102" s="3">
        <v>67</v>
      </c>
      <c r="I102" s="3">
        <v>0</v>
      </c>
      <c r="J102" s="3">
        <v>0</v>
      </c>
      <c r="K102" s="3">
        <v>244</v>
      </c>
      <c r="L102" s="3">
        <v>269</v>
      </c>
      <c r="M102" s="3">
        <v>90.7</v>
      </c>
      <c r="N102" s="4">
        <v>0.49199999999999999</v>
      </c>
      <c r="O102" s="3">
        <v>120</v>
      </c>
      <c r="P102" s="3">
        <v>124</v>
      </c>
      <c r="Q102" s="4">
        <v>0</v>
      </c>
      <c r="S102" s="4">
        <v>0.25</v>
      </c>
      <c r="T102" s="3">
        <v>0</v>
      </c>
      <c r="V102" s="3">
        <v>97</v>
      </c>
      <c r="W102" s="3">
        <v>94.8</v>
      </c>
      <c r="X102" s="3" t="s">
        <v>43</v>
      </c>
      <c r="Y102" s="3" t="s">
        <v>33</v>
      </c>
      <c r="Z102" s="3">
        <v>100</v>
      </c>
      <c r="AA102" s="3">
        <v>1.5</v>
      </c>
      <c r="AB102" s="3">
        <v>1</v>
      </c>
      <c r="AC102" s="3">
        <v>0</v>
      </c>
      <c r="AD102" s="3">
        <v>2</v>
      </c>
      <c r="AE102" s="3">
        <f t="shared" si="3"/>
        <v>99.3</v>
      </c>
      <c r="AF102" s="3">
        <v>99.3</v>
      </c>
    </row>
    <row r="103" spans="1:33" s="3" customFormat="1" x14ac:dyDescent="0.25">
      <c r="A103" s="3">
        <v>568</v>
      </c>
      <c r="B103" s="3" t="str" cm="1">
        <f t="array" ref="B103">INDEX(Teams!$A$1:$N$1,1,SUMPRODUCT((Teams!$A$2:$N$13=C103&amp;" "&amp;D103)*COLUMN(A:N)))</f>
        <v xml:space="preserve">  Buckeyes</v>
      </c>
      <c r="C103" s="3" t="s">
        <v>273</v>
      </c>
      <c r="D103" s="3" t="s">
        <v>274</v>
      </c>
      <c r="E103" s="3" t="s">
        <v>47</v>
      </c>
      <c r="F103" s="3" t="s">
        <v>420</v>
      </c>
      <c r="G103" s="3" t="s">
        <v>477</v>
      </c>
      <c r="H103" s="3">
        <v>63</v>
      </c>
      <c r="I103" s="3">
        <v>82</v>
      </c>
      <c r="J103" s="3">
        <v>1</v>
      </c>
      <c r="K103" s="3">
        <v>54</v>
      </c>
      <c r="L103" s="3">
        <v>66</v>
      </c>
      <c r="M103" s="3">
        <v>81.8</v>
      </c>
      <c r="N103" s="4">
        <v>0.5</v>
      </c>
      <c r="O103" s="3">
        <v>27</v>
      </c>
      <c r="P103" s="3">
        <v>27</v>
      </c>
      <c r="Q103" s="4">
        <v>0.24299999999999999</v>
      </c>
      <c r="S103" s="4">
        <v>0.23200000000000001</v>
      </c>
      <c r="T103" s="3">
        <v>95</v>
      </c>
      <c r="V103" s="3">
        <v>90</v>
      </c>
      <c r="W103" s="3">
        <v>92.2</v>
      </c>
      <c r="X103" s="3" t="s">
        <v>56</v>
      </c>
      <c r="Y103" s="3" t="s">
        <v>33</v>
      </c>
      <c r="Z103" s="3">
        <v>100</v>
      </c>
      <c r="AA103" s="3">
        <v>2.5</v>
      </c>
      <c r="AB103" s="3">
        <v>3</v>
      </c>
      <c r="AC103" s="3">
        <v>0</v>
      </c>
      <c r="AD103" s="3">
        <v>1</v>
      </c>
      <c r="AE103" s="3">
        <f t="shared" si="3"/>
        <v>98.7</v>
      </c>
      <c r="AF103" s="3">
        <v>98.7</v>
      </c>
      <c r="AG103" s="3" t="s">
        <v>275</v>
      </c>
    </row>
    <row r="104" spans="1:33" s="3" customFormat="1" x14ac:dyDescent="0.25">
      <c r="A104" s="3">
        <v>388</v>
      </c>
      <c r="B104" s="3" t="str" cm="1">
        <f t="array" ref="B104">INDEX(Teams!$A$1:$N$1,1,SUMPRODUCT((Teams!$A$2:$N$13=C104&amp;" "&amp;D104)*COLUMN(A:N)))</f>
        <v>Team USA</v>
      </c>
      <c r="C104" s="3" t="s">
        <v>169</v>
      </c>
      <c r="D104" s="3" t="s">
        <v>280</v>
      </c>
      <c r="E104" s="3" t="s">
        <v>47</v>
      </c>
      <c r="F104" s="3" t="s">
        <v>681</v>
      </c>
      <c r="G104" s="3" t="s">
        <v>681</v>
      </c>
      <c r="H104" s="3">
        <v>60</v>
      </c>
      <c r="I104" s="3">
        <v>60</v>
      </c>
      <c r="J104" s="3">
        <v>0</v>
      </c>
      <c r="K104" s="3">
        <v>217</v>
      </c>
      <c r="L104" s="3">
        <v>258</v>
      </c>
      <c r="M104" s="3">
        <v>84.1</v>
      </c>
      <c r="N104" s="4">
        <v>0.45600000000000002</v>
      </c>
      <c r="O104" s="3">
        <v>99</v>
      </c>
      <c r="P104" s="3">
        <v>118</v>
      </c>
      <c r="Q104" s="4">
        <v>0.24299999999999999</v>
      </c>
      <c r="S104" s="4">
        <v>0.23200000000000001</v>
      </c>
      <c r="T104" s="3">
        <v>95</v>
      </c>
      <c r="V104" s="3">
        <v>90</v>
      </c>
      <c r="W104" s="3">
        <v>90.9</v>
      </c>
      <c r="X104" s="3" t="s">
        <v>56</v>
      </c>
      <c r="Y104" s="3" t="s">
        <v>33</v>
      </c>
      <c r="Z104" s="3">
        <v>100</v>
      </c>
      <c r="AA104" s="3">
        <v>2.5</v>
      </c>
      <c r="AB104" s="3">
        <v>3</v>
      </c>
      <c r="AC104" s="3">
        <v>1</v>
      </c>
      <c r="AD104" s="3">
        <v>1</v>
      </c>
      <c r="AE104" s="3">
        <f t="shared" si="3"/>
        <v>98.4</v>
      </c>
      <c r="AF104" s="3">
        <v>97.4</v>
      </c>
      <c r="AG104" s="3" t="s">
        <v>281</v>
      </c>
    </row>
    <row r="105" spans="1:33" s="3" customFormat="1" x14ac:dyDescent="0.25">
      <c r="A105" s="3">
        <v>260</v>
      </c>
      <c r="B105" s="3" t="str" cm="1">
        <f t="array" ref="B105">INDEX(Teams!$A$1:$N$1,1,SUMPRODUCT((Teams!$A$2:$N$13=C105&amp;" "&amp;D105)*COLUMN(A:N)))</f>
        <v>DEATHSTARS .</v>
      </c>
      <c r="C105" s="3" t="s">
        <v>276</v>
      </c>
      <c r="D105" s="3" t="s">
        <v>277</v>
      </c>
      <c r="E105" s="3" t="s">
        <v>42</v>
      </c>
      <c r="F105" s="3" t="s">
        <v>42</v>
      </c>
      <c r="G105" s="3" t="s">
        <v>139</v>
      </c>
      <c r="H105" s="3">
        <v>69</v>
      </c>
      <c r="I105" s="3">
        <v>83</v>
      </c>
      <c r="J105" s="3">
        <v>2</v>
      </c>
      <c r="K105" s="3">
        <v>304</v>
      </c>
      <c r="L105" s="3">
        <v>366</v>
      </c>
      <c r="M105" s="3">
        <v>83.1</v>
      </c>
      <c r="N105" s="4">
        <v>0.55400000000000005</v>
      </c>
      <c r="O105" s="3">
        <v>252</v>
      </c>
      <c r="P105" s="3">
        <v>203</v>
      </c>
      <c r="Q105" s="4">
        <v>0.24</v>
      </c>
      <c r="R105" s="4">
        <v>0.25700000000000001</v>
      </c>
      <c r="S105" s="4">
        <v>0.22800000000000001</v>
      </c>
      <c r="T105" s="3">
        <v>94</v>
      </c>
      <c r="U105" s="3">
        <v>102</v>
      </c>
      <c r="V105" s="3">
        <v>88</v>
      </c>
      <c r="W105" s="3">
        <v>95.2</v>
      </c>
      <c r="X105" s="3" t="s">
        <v>32</v>
      </c>
      <c r="Y105" s="3" t="s">
        <v>33</v>
      </c>
      <c r="Z105" s="3">
        <v>100</v>
      </c>
      <c r="AA105" s="3">
        <v>1</v>
      </c>
      <c r="AB105" s="3">
        <v>1</v>
      </c>
      <c r="AC105" s="3">
        <v>0</v>
      </c>
      <c r="AD105" s="3">
        <v>1</v>
      </c>
      <c r="AE105" s="3">
        <f t="shared" si="3"/>
        <v>98.2</v>
      </c>
      <c r="AF105" s="3">
        <v>98.2</v>
      </c>
    </row>
    <row r="106" spans="1:33" s="3" customFormat="1" x14ac:dyDescent="0.25">
      <c r="A106" s="3">
        <v>490</v>
      </c>
      <c r="B106" s="3" t="str" cm="1">
        <f t="array" ref="B106">INDEX(Teams!$A$1:$N$1,1,SUMPRODUCT((Teams!$A$2:$N$13=C106&amp;" "&amp;D106)*COLUMN(A:N)))</f>
        <v xml:space="preserve">  Norsemen</v>
      </c>
      <c r="C106" s="3" t="s">
        <v>45</v>
      </c>
      <c r="D106" s="3" t="s">
        <v>278</v>
      </c>
      <c r="E106" s="3" t="s">
        <v>47</v>
      </c>
      <c r="F106" s="3" t="s">
        <v>420</v>
      </c>
      <c r="G106" s="3" t="s">
        <v>92</v>
      </c>
      <c r="H106" s="3">
        <v>65</v>
      </c>
      <c r="I106" s="3">
        <v>0</v>
      </c>
      <c r="J106" s="3">
        <v>0</v>
      </c>
      <c r="K106" s="3">
        <v>66</v>
      </c>
      <c r="L106" s="3">
        <v>66</v>
      </c>
      <c r="M106" s="3">
        <v>100</v>
      </c>
      <c r="N106" s="4">
        <v>0.621</v>
      </c>
      <c r="O106" s="3">
        <v>41</v>
      </c>
      <c r="P106" s="3">
        <v>25</v>
      </c>
      <c r="Q106" s="4">
        <v>0</v>
      </c>
      <c r="S106" s="4">
        <v>0.24099999999999999</v>
      </c>
      <c r="T106" s="3">
        <v>0</v>
      </c>
      <c r="V106" s="3">
        <v>93</v>
      </c>
      <c r="W106" s="3">
        <v>92.4</v>
      </c>
      <c r="X106" s="3" t="s">
        <v>43</v>
      </c>
      <c r="Y106" s="3" t="s">
        <v>33</v>
      </c>
      <c r="Z106" s="3">
        <v>100</v>
      </c>
      <c r="AA106" s="3">
        <v>2.5</v>
      </c>
      <c r="AB106" s="3">
        <v>1</v>
      </c>
      <c r="AC106" s="3">
        <v>0</v>
      </c>
      <c r="AD106" s="3">
        <v>2</v>
      </c>
      <c r="AE106" s="3">
        <f t="shared" si="3"/>
        <v>97.9</v>
      </c>
      <c r="AF106" s="3">
        <v>97.9</v>
      </c>
      <c r="AG106" s="3" t="s">
        <v>279</v>
      </c>
    </row>
    <row r="107" spans="1:33" x14ac:dyDescent="0.25">
      <c r="A107" s="5">
        <v>495</v>
      </c>
      <c r="B107" s="3" t="str" cm="1">
        <f t="array" ref="B107">INDEX(Teams!$A$1:$N$1,1,SUMPRODUCT((Teams!$A$2:$N$13=C107&amp;" "&amp;D107)*COLUMN(A:N)))</f>
        <v>Lightning Strikes</v>
      </c>
      <c r="C107" s="5" t="s">
        <v>282</v>
      </c>
      <c r="D107" s="5" t="s">
        <v>283</v>
      </c>
      <c r="E107" s="5" t="s">
        <v>143</v>
      </c>
      <c r="F107" s="5" t="s">
        <v>420</v>
      </c>
      <c r="G107" s="5" t="s">
        <v>732</v>
      </c>
      <c r="H107" s="5">
        <v>53</v>
      </c>
      <c r="I107" s="5">
        <v>71</v>
      </c>
      <c r="J107" s="5">
        <v>0</v>
      </c>
      <c r="K107" s="5">
        <v>148</v>
      </c>
      <c r="L107" s="5">
        <v>185</v>
      </c>
      <c r="M107" s="5">
        <v>80</v>
      </c>
      <c r="N107" s="6">
        <v>0.45300000000000001</v>
      </c>
      <c r="O107" s="5">
        <v>67</v>
      </c>
      <c r="P107" s="5">
        <v>81</v>
      </c>
      <c r="Q107" s="6">
        <v>0.23300000000000001</v>
      </c>
      <c r="R107" s="6">
        <v>0.216</v>
      </c>
      <c r="S107" s="6">
        <v>0.23899999999999999</v>
      </c>
      <c r="T107" s="5">
        <v>91</v>
      </c>
      <c r="U107" s="5">
        <v>86</v>
      </c>
      <c r="V107" s="5">
        <v>92</v>
      </c>
      <c r="W107" s="5">
        <v>89.8</v>
      </c>
      <c r="X107" s="5" t="s">
        <v>32</v>
      </c>
      <c r="Y107" s="5" t="s">
        <v>33</v>
      </c>
      <c r="Z107" s="5">
        <v>100</v>
      </c>
      <c r="AA107" s="5">
        <v>1.5</v>
      </c>
      <c r="AB107" s="5">
        <v>5</v>
      </c>
      <c r="AC107" s="5">
        <v>0</v>
      </c>
      <c r="AD107" s="5">
        <v>1</v>
      </c>
      <c r="AE107" s="5">
        <f t="shared" si="3"/>
        <v>97.3</v>
      </c>
      <c r="AF107" s="5">
        <v>97.3</v>
      </c>
      <c r="AG107" s="5" t="s">
        <v>284</v>
      </c>
    </row>
    <row r="108" spans="1:33" s="3" customFormat="1" x14ac:dyDescent="0.25">
      <c r="A108" s="3">
        <v>553</v>
      </c>
      <c r="B108" s="3" t="str" cm="1">
        <f t="array" ref="B108">INDEX(Teams!$A$1:$N$1,1,SUMPRODUCT((Teams!$A$2:$N$13=C108&amp;" "&amp;D108)*COLUMN(A:N)))</f>
        <v>Lightning Strikes</v>
      </c>
      <c r="C108" s="3" t="s">
        <v>294</v>
      </c>
      <c r="D108" s="3" t="s">
        <v>295</v>
      </c>
      <c r="E108" s="3" t="s">
        <v>136</v>
      </c>
      <c r="F108" s="3" t="s">
        <v>136</v>
      </c>
      <c r="G108" s="3" t="s">
        <v>459</v>
      </c>
      <c r="H108" s="3">
        <v>69</v>
      </c>
      <c r="I108" s="3">
        <v>0</v>
      </c>
      <c r="J108" s="3">
        <v>0</v>
      </c>
      <c r="K108" s="3">
        <v>33</v>
      </c>
      <c r="L108" s="3">
        <v>44</v>
      </c>
      <c r="M108" s="3">
        <v>75</v>
      </c>
      <c r="N108" s="4">
        <v>0.27300000000000002</v>
      </c>
      <c r="O108" s="3">
        <v>9</v>
      </c>
      <c r="P108" s="3">
        <v>24</v>
      </c>
      <c r="Q108" s="4">
        <v>0</v>
      </c>
      <c r="S108" s="4">
        <v>0.215</v>
      </c>
      <c r="T108" s="3">
        <v>0</v>
      </c>
      <c r="V108" s="3">
        <v>83</v>
      </c>
      <c r="W108" s="3">
        <v>93</v>
      </c>
      <c r="X108" s="3" t="s">
        <v>296</v>
      </c>
      <c r="Y108" s="3" t="s">
        <v>49</v>
      </c>
      <c r="Z108" s="3">
        <v>85.9</v>
      </c>
      <c r="AA108" s="3">
        <v>2</v>
      </c>
      <c r="AB108" s="3">
        <v>1</v>
      </c>
      <c r="AC108" s="3">
        <v>1</v>
      </c>
      <c r="AD108" s="3">
        <v>0</v>
      </c>
      <c r="AE108" s="3">
        <f t="shared" si="3"/>
        <v>97</v>
      </c>
      <c r="AF108" s="3">
        <v>96</v>
      </c>
      <c r="AG108" s="3" t="s">
        <v>297</v>
      </c>
    </row>
    <row r="109" spans="1:33" s="3" customFormat="1" x14ac:dyDescent="0.25">
      <c r="A109" s="3">
        <v>432</v>
      </c>
      <c r="B109" s="3" t="str" cm="1">
        <f t="array" ref="B109">INDEX(Teams!$A$1:$N$1,1,SUMPRODUCT((Teams!$A$2:$N$13=C109&amp;" "&amp;D109)*COLUMN(A:N)))</f>
        <v xml:space="preserve">  Norsemen</v>
      </c>
      <c r="C109" s="3" t="s">
        <v>286</v>
      </c>
      <c r="D109" s="3" t="s">
        <v>287</v>
      </c>
      <c r="E109" s="3" t="s">
        <v>71</v>
      </c>
      <c r="F109" s="3" t="s">
        <v>510</v>
      </c>
      <c r="G109" s="3" t="s">
        <v>420</v>
      </c>
      <c r="H109" s="3">
        <v>70</v>
      </c>
      <c r="I109" s="3">
        <v>0</v>
      </c>
      <c r="J109" s="3">
        <v>0</v>
      </c>
      <c r="K109" s="3">
        <v>172</v>
      </c>
      <c r="L109" s="3">
        <v>183</v>
      </c>
      <c r="M109" s="3">
        <v>94</v>
      </c>
      <c r="N109" s="4">
        <v>0.47099999999999997</v>
      </c>
      <c r="O109" s="3">
        <v>81</v>
      </c>
      <c r="P109" s="3">
        <v>91</v>
      </c>
      <c r="Q109" s="4">
        <v>0</v>
      </c>
      <c r="R109" s="4">
        <v>0.23</v>
      </c>
      <c r="S109" s="4">
        <v>0.219</v>
      </c>
      <c r="T109" s="3">
        <v>0</v>
      </c>
      <c r="U109" s="3">
        <v>92</v>
      </c>
      <c r="V109" s="3">
        <v>85</v>
      </c>
      <c r="W109" s="3">
        <v>89.7</v>
      </c>
      <c r="X109" s="3" t="s">
        <v>288</v>
      </c>
      <c r="Y109" s="3" t="s">
        <v>33</v>
      </c>
      <c r="Z109" s="3">
        <v>92</v>
      </c>
      <c r="AA109" s="3">
        <v>5</v>
      </c>
      <c r="AB109" s="3">
        <v>0</v>
      </c>
      <c r="AC109" s="3">
        <v>0</v>
      </c>
      <c r="AD109" s="3">
        <v>2</v>
      </c>
      <c r="AE109" s="3">
        <f t="shared" si="3"/>
        <v>96.7</v>
      </c>
      <c r="AF109" s="3">
        <v>96.7</v>
      </c>
    </row>
    <row r="110" spans="1:33" s="3" customFormat="1" x14ac:dyDescent="0.25">
      <c r="A110" s="3">
        <v>440</v>
      </c>
      <c r="B110" s="3" t="str" cm="1">
        <f t="array" ref="B110">INDEX(Teams!$A$1:$N$1,1,SUMPRODUCT((Teams!$A$2:$N$13=C110&amp;" "&amp;D110)*COLUMN(A:N)))</f>
        <v xml:space="preserve">Rebels  </v>
      </c>
      <c r="C110" s="3" t="s">
        <v>289</v>
      </c>
      <c r="D110" s="3" t="s">
        <v>290</v>
      </c>
      <c r="E110" s="3" t="s">
        <v>92</v>
      </c>
      <c r="F110" s="3" t="s">
        <v>92</v>
      </c>
      <c r="G110" s="3" t="s">
        <v>31</v>
      </c>
      <c r="H110" s="3">
        <v>73</v>
      </c>
      <c r="I110" s="3">
        <v>73</v>
      </c>
      <c r="J110" s="3">
        <v>1</v>
      </c>
      <c r="K110" s="3">
        <v>207</v>
      </c>
      <c r="L110" s="3">
        <v>232</v>
      </c>
      <c r="M110" s="3">
        <v>89.2</v>
      </c>
      <c r="N110" s="4">
        <v>0.48799999999999999</v>
      </c>
      <c r="O110" s="3">
        <v>101</v>
      </c>
      <c r="P110" s="3">
        <v>106</v>
      </c>
      <c r="Q110" s="4">
        <v>0.253</v>
      </c>
      <c r="R110" s="4">
        <v>0.218</v>
      </c>
      <c r="S110" s="4">
        <v>0.24</v>
      </c>
      <c r="T110" s="3">
        <v>99</v>
      </c>
      <c r="U110" s="3">
        <v>87</v>
      </c>
      <c r="V110" s="3">
        <v>93</v>
      </c>
      <c r="W110" s="3">
        <v>94</v>
      </c>
      <c r="X110" s="3" t="s">
        <v>32</v>
      </c>
      <c r="Y110" s="3" t="s">
        <v>33</v>
      </c>
      <c r="Z110" s="3">
        <v>100</v>
      </c>
      <c r="AA110" s="3">
        <v>1.5</v>
      </c>
      <c r="AB110" s="3">
        <v>0</v>
      </c>
      <c r="AC110" s="3">
        <v>0</v>
      </c>
      <c r="AD110" s="3">
        <v>1</v>
      </c>
      <c r="AE110" s="3">
        <f t="shared" si="3"/>
        <v>96.5</v>
      </c>
      <c r="AF110" s="3">
        <v>96.5</v>
      </c>
      <c r="AG110" s="3" t="s">
        <v>291</v>
      </c>
    </row>
    <row r="111" spans="1:33" s="3" customFormat="1" x14ac:dyDescent="0.25">
      <c r="A111" s="3">
        <v>516</v>
      </c>
      <c r="B111" s="3" t="str" cm="1">
        <f t="array" ref="B111">INDEX(Teams!$A$1:$N$1,1,SUMPRODUCT((Teams!$A$2:$N$13=C111&amp;" "&amp;D111)*COLUMN(A:N)))</f>
        <v xml:space="preserve">Gunslingers  </v>
      </c>
      <c r="C111" s="3" t="s">
        <v>292</v>
      </c>
      <c r="D111" s="3" t="s">
        <v>293</v>
      </c>
      <c r="E111" s="3" t="s">
        <v>47</v>
      </c>
      <c r="F111" s="3" t="s">
        <v>420</v>
      </c>
      <c r="G111" s="3" t="s">
        <v>420</v>
      </c>
      <c r="H111" s="3">
        <v>66</v>
      </c>
      <c r="I111" s="3">
        <v>75</v>
      </c>
      <c r="J111" s="3">
        <v>1</v>
      </c>
      <c r="K111" s="3">
        <v>146</v>
      </c>
      <c r="L111" s="3">
        <v>163</v>
      </c>
      <c r="M111" s="3">
        <v>89.6</v>
      </c>
      <c r="N111" s="4">
        <v>0.57899999999999996</v>
      </c>
      <c r="O111" s="3">
        <v>84</v>
      </c>
      <c r="P111" s="3">
        <v>61</v>
      </c>
      <c r="Q111" s="4">
        <v>0.224</v>
      </c>
      <c r="R111" s="4">
        <v>0.22800000000000001</v>
      </c>
      <c r="S111" s="4">
        <v>0.26700000000000002</v>
      </c>
      <c r="T111" s="3">
        <v>88</v>
      </c>
      <c r="U111" s="3">
        <v>91</v>
      </c>
      <c r="V111" s="3">
        <v>103</v>
      </c>
      <c r="W111" s="3">
        <v>91.6</v>
      </c>
      <c r="X111" s="3" t="s">
        <v>32</v>
      </c>
      <c r="Y111" s="3" t="s">
        <v>33</v>
      </c>
      <c r="Z111" s="3">
        <v>100</v>
      </c>
      <c r="AA111" s="3">
        <v>2.5</v>
      </c>
      <c r="AB111" s="3">
        <v>1</v>
      </c>
      <c r="AC111" s="3">
        <v>0</v>
      </c>
      <c r="AD111" s="3">
        <v>1</v>
      </c>
      <c r="AE111" s="3">
        <f t="shared" si="3"/>
        <v>96.1</v>
      </c>
      <c r="AF111" s="3">
        <v>96.1</v>
      </c>
    </row>
    <row r="112" spans="1:33" s="3" customFormat="1" x14ac:dyDescent="0.25">
      <c r="A112" s="3">
        <v>576</v>
      </c>
      <c r="B112" s="3" t="str" cm="1">
        <f t="array" ref="B112">INDEX(Teams!$A$1:$N$1,1,SUMPRODUCT((Teams!$A$2:$N$13=C112&amp;" "&amp;D112)*COLUMN(A:N)))</f>
        <v>Team USA</v>
      </c>
      <c r="C112" s="3" t="s">
        <v>69</v>
      </c>
      <c r="D112" s="3" t="s">
        <v>298</v>
      </c>
      <c r="E112" s="3" t="s">
        <v>71</v>
      </c>
      <c r="F112" s="3" t="s">
        <v>71</v>
      </c>
      <c r="G112" s="3" t="s">
        <v>31</v>
      </c>
      <c r="H112" s="3">
        <v>60</v>
      </c>
      <c r="I112" s="3">
        <v>73</v>
      </c>
      <c r="J112" s="3">
        <v>1</v>
      </c>
      <c r="K112" s="3">
        <v>60</v>
      </c>
      <c r="L112" s="3">
        <v>65</v>
      </c>
      <c r="M112" s="3">
        <v>92.3</v>
      </c>
      <c r="N112" s="4">
        <v>0.627</v>
      </c>
      <c r="O112" s="3">
        <v>37</v>
      </c>
      <c r="P112" s="3">
        <v>22</v>
      </c>
      <c r="Q112" s="4">
        <v>0.188</v>
      </c>
      <c r="R112" s="4">
        <v>0.20699999999999999</v>
      </c>
      <c r="S112" s="4">
        <v>0.318</v>
      </c>
      <c r="T112" s="3">
        <v>74</v>
      </c>
      <c r="U112" s="3">
        <v>82</v>
      </c>
      <c r="V112" s="3">
        <v>123</v>
      </c>
      <c r="W112" s="3">
        <v>85.9</v>
      </c>
      <c r="X112" s="3" t="s">
        <v>32</v>
      </c>
      <c r="Y112" s="3" t="s">
        <v>33</v>
      </c>
      <c r="Z112" s="3">
        <v>97.5</v>
      </c>
      <c r="AA112" s="3">
        <v>5</v>
      </c>
      <c r="AB112" s="3">
        <v>3</v>
      </c>
      <c r="AC112" s="3">
        <v>0</v>
      </c>
      <c r="AD112" s="3">
        <v>2</v>
      </c>
      <c r="AE112" s="3">
        <f t="shared" si="3"/>
        <v>95.9</v>
      </c>
      <c r="AF112" s="3">
        <v>95.9</v>
      </c>
      <c r="AG112" s="3" t="s">
        <v>299</v>
      </c>
    </row>
    <row r="113" spans="1:33" s="3" customFormat="1" x14ac:dyDescent="0.25">
      <c r="A113" s="3">
        <v>336</v>
      </c>
      <c r="B113" s="3" t="str" cm="1">
        <f t="array" ref="B113">INDEX(Teams!$A$1:$N$1,1,SUMPRODUCT((Teams!$A$2:$N$13=C113&amp;" "&amp;D113)*COLUMN(A:N)))</f>
        <v xml:space="preserve">Shorebirds  </v>
      </c>
      <c r="C113" s="3" t="s">
        <v>276</v>
      </c>
      <c r="D113" s="3" t="s">
        <v>304</v>
      </c>
      <c r="E113" s="3" t="s">
        <v>143</v>
      </c>
      <c r="F113" s="3" t="s">
        <v>420</v>
      </c>
      <c r="G113" s="3" t="s">
        <v>92</v>
      </c>
      <c r="H113" s="3">
        <v>78</v>
      </c>
      <c r="I113" s="3">
        <v>0</v>
      </c>
      <c r="J113" s="3">
        <v>0</v>
      </c>
      <c r="K113" s="3">
        <v>148</v>
      </c>
      <c r="L113" s="3">
        <v>228</v>
      </c>
      <c r="M113" s="3">
        <v>64.900000000000006</v>
      </c>
      <c r="N113" s="4">
        <v>0.55400000000000005</v>
      </c>
      <c r="O113" s="3">
        <v>82</v>
      </c>
      <c r="P113" s="3">
        <v>66</v>
      </c>
      <c r="Q113" s="4">
        <v>0</v>
      </c>
      <c r="S113" s="4">
        <v>0.23599999999999999</v>
      </c>
      <c r="T113" s="3">
        <v>0</v>
      </c>
      <c r="V113" s="3">
        <v>91</v>
      </c>
      <c r="W113" s="3">
        <v>96.9</v>
      </c>
      <c r="X113" s="3" t="s">
        <v>106</v>
      </c>
      <c r="Y113" s="3" t="s">
        <v>33</v>
      </c>
      <c r="Z113" s="3">
        <v>100</v>
      </c>
      <c r="AA113" s="3">
        <v>1.5</v>
      </c>
      <c r="AB113" s="3">
        <v>-2</v>
      </c>
      <c r="AC113" s="3">
        <v>1</v>
      </c>
      <c r="AD113" s="3">
        <v>-2</v>
      </c>
      <c r="AE113" s="3">
        <f t="shared" si="3"/>
        <v>95.4</v>
      </c>
      <c r="AF113" s="3">
        <v>94.4</v>
      </c>
      <c r="AG113" s="3" t="s">
        <v>305</v>
      </c>
    </row>
    <row r="114" spans="1:33" s="3" customFormat="1" x14ac:dyDescent="0.25">
      <c r="A114" s="3">
        <v>607</v>
      </c>
      <c r="B114" s="3" t="str" cm="1">
        <f t="array" ref="B114">INDEX(Teams!$A$1:$N$1,1,SUMPRODUCT((Teams!$A$2:$N$13=C114&amp;" "&amp;D114)*COLUMN(A:N)))</f>
        <v>DEATHSTARS .</v>
      </c>
      <c r="C114" s="3" t="s">
        <v>169</v>
      </c>
      <c r="D114" s="3" t="s">
        <v>300</v>
      </c>
      <c r="E114" s="3" t="s">
        <v>139</v>
      </c>
      <c r="F114" s="3" t="s">
        <v>586</v>
      </c>
      <c r="G114" s="3" t="s">
        <v>601</v>
      </c>
      <c r="H114" s="3">
        <v>66</v>
      </c>
      <c r="I114" s="3">
        <v>67</v>
      </c>
      <c r="J114" s="3">
        <v>0</v>
      </c>
      <c r="K114" s="3">
        <v>20</v>
      </c>
      <c r="L114" s="3">
        <v>22</v>
      </c>
      <c r="M114" s="3">
        <v>90.9</v>
      </c>
      <c r="N114" s="4">
        <v>0.55000000000000004</v>
      </c>
      <c r="O114" s="3">
        <v>11</v>
      </c>
      <c r="P114" s="3">
        <v>9</v>
      </c>
      <c r="Q114" s="4">
        <v>0.23499999999999999</v>
      </c>
      <c r="T114" s="3">
        <v>92</v>
      </c>
      <c r="W114" s="3">
        <v>91.8</v>
      </c>
      <c r="X114" s="3" t="s">
        <v>85</v>
      </c>
      <c r="Y114" s="3" t="s">
        <v>86</v>
      </c>
      <c r="Z114" s="3">
        <v>69.099999999999994</v>
      </c>
      <c r="AA114" s="3">
        <v>0.5</v>
      </c>
      <c r="AB114" s="3">
        <v>1</v>
      </c>
      <c r="AC114" s="3">
        <v>0</v>
      </c>
      <c r="AD114" s="3">
        <v>2</v>
      </c>
      <c r="AE114" s="3">
        <f t="shared" si="3"/>
        <v>95.3</v>
      </c>
      <c r="AF114" s="3">
        <v>95.3</v>
      </c>
      <c r="AG114" s="3" t="s">
        <v>301</v>
      </c>
    </row>
    <row r="115" spans="1:33" s="3" customFormat="1" x14ac:dyDescent="0.25">
      <c r="B115" s="3" t="str" cm="1">
        <f t="array" ref="B115">INDEX(Teams!$A$1:$N$1,1,SUMPRODUCT((Teams!$A$2:$N$13=C115&amp;" "&amp;D115)*COLUMN(A:N)))</f>
        <v>Bad News Bears</v>
      </c>
      <c r="C115" s="3" t="s">
        <v>45</v>
      </c>
      <c r="D115" s="3" t="s">
        <v>397</v>
      </c>
      <c r="E115" s="3" t="s">
        <v>71</v>
      </c>
      <c r="F115" s="3" t="s">
        <v>71</v>
      </c>
      <c r="G115" s="3" t="s">
        <v>31</v>
      </c>
      <c r="I115" s="3" t="s">
        <v>396</v>
      </c>
      <c r="J115" s="3" t="s">
        <v>396</v>
      </c>
      <c r="K115" s="3">
        <v>0</v>
      </c>
      <c r="L115" s="3">
        <v>0</v>
      </c>
      <c r="O115" s="3">
        <v>0</v>
      </c>
      <c r="P115" s="3">
        <v>0</v>
      </c>
      <c r="Q115" s="3" t="s">
        <v>396</v>
      </c>
      <c r="Y115" s="3" t="s">
        <v>94</v>
      </c>
      <c r="Z115" s="3">
        <v>0</v>
      </c>
      <c r="AA115" s="3">
        <v>5</v>
      </c>
      <c r="AB115" s="3">
        <v>0</v>
      </c>
      <c r="AC115" s="3">
        <v>95</v>
      </c>
      <c r="AD115" s="3">
        <v>0</v>
      </c>
      <c r="AE115" s="3">
        <f t="shared" si="3"/>
        <v>95</v>
      </c>
      <c r="AG115" s="3" t="s">
        <v>398</v>
      </c>
    </row>
    <row r="116" spans="1:33" s="3" customFormat="1" x14ac:dyDescent="0.25">
      <c r="A116" s="3">
        <v>545</v>
      </c>
      <c r="B116" s="3" t="str" cm="1">
        <f t="array" ref="B116">INDEX(Teams!$A$1:$N$1,1,SUMPRODUCT((Teams!$A$2:$N$13=C116&amp;" "&amp;D116)*COLUMN(A:N)))</f>
        <v>Team USA</v>
      </c>
      <c r="C116" s="3" t="s">
        <v>90</v>
      </c>
      <c r="D116" s="3" t="s">
        <v>302</v>
      </c>
      <c r="E116" s="3" t="s">
        <v>92</v>
      </c>
      <c r="F116" s="3" t="s">
        <v>92</v>
      </c>
      <c r="G116" s="3" t="s">
        <v>136</v>
      </c>
      <c r="H116" s="3">
        <v>64</v>
      </c>
      <c r="I116" s="3">
        <v>0</v>
      </c>
      <c r="J116" s="3">
        <v>0</v>
      </c>
      <c r="K116" s="3">
        <v>39</v>
      </c>
      <c r="L116" s="3">
        <v>43</v>
      </c>
      <c r="M116" s="3">
        <v>90.7</v>
      </c>
      <c r="N116" s="4">
        <v>0.53800000000000003</v>
      </c>
      <c r="O116" s="3">
        <v>21</v>
      </c>
      <c r="P116" s="3">
        <v>18</v>
      </c>
      <c r="Q116" s="4">
        <v>0</v>
      </c>
      <c r="S116" s="4">
        <v>0.246</v>
      </c>
      <c r="T116" s="3">
        <v>0</v>
      </c>
      <c r="V116" s="3">
        <v>95</v>
      </c>
      <c r="W116" s="3">
        <v>88</v>
      </c>
      <c r="X116" s="3" t="s">
        <v>296</v>
      </c>
      <c r="Y116" s="3" t="s">
        <v>49</v>
      </c>
      <c r="Z116" s="3">
        <v>85.9</v>
      </c>
      <c r="AA116" s="3">
        <v>1.5</v>
      </c>
      <c r="AB116" s="3">
        <v>3</v>
      </c>
      <c r="AC116" s="3">
        <v>0</v>
      </c>
      <c r="AD116" s="3">
        <v>2</v>
      </c>
      <c r="AE116" s="3">
        <f t="shared" si="3"/>
        <v>94.5</v>
      </c>
      <c r="AF116" s="3">
        <v>94.5</v>
      </c>
    </row>
    <row r="117" spans="1:33" s="3" customFormat="1" x14ac:dyDescent="0.25">
      <c r="A117" s="3">
        <v>404</v>
      </c>
      <c r="B117" s="3" t="str" cm="1">
        <f t="array" ref="B117">INDEX(Teams!$A$1:$N$1,1,SUMPRODUCT((Teams!$A$2:$N$13=C117&amp;" "&amp;D117)*COLUMN(A:N)))</f>
        <v xml:space="preserve">  Norsemen</v>
      </c>
      <c r="C117" s="3" t="s">
        <v>294</v>
      </c>
      <c r="D117" s="3" t="s">
        <v>303</v>
      </c>
      <c r="E117" s="3" t="s">
        <v>92</v>
      </c>
      <c r="F117" s="3" t="s">
        <v>92</v>
      </c>
      <c r="G117" s="3" t="s">
        <v>31</v>
      </c>
      <c r="H117" s="3">
        <v>65</v>
      </c>
      <c r="I117" s="3">
        <v>0</v>
      </c>
      <c r="J117" s="3">
        <v>0</v>
      </c>
      <c r="K117" s="3">
        <v>89</v>
      </c>
      <c r="L117" s="3">
        <v>111</v>
      </c>
      <c r="M117" s="3">
        <v>80.2</v>
      </c>
      <c r="N117" s="4">
        <v>0.60699999999999998</v>
      </c>
      <c r="O117" s="3">
        <v>54</v>
      </c>
      <c r="P117" s="3">
        <v>35</v>
      </c>
      <c r="Q117" s="4">
        <v>0</v>
      </c>
      <c r="S117" s="4">
        <v>0.23</v>
      </c>
      <c r="T117" s="3">
        <v>0</v>
      </c>
      <c r="V117" s="3">
        <v>89</v>
      </c>
      <c r="W117" s="3">
        <v>91</v>
      </c>
      <c r="X117" s="3" t="s">
        <v>43</v>
      </c>
      <c r="Y117" s="3" t="s">
        <v>33</v>
      </c>
      <c r="Z117" s="3">
        <v>100</v>
      </c>
      <c r="AA117" s="3">
        <v>1.5</v>
      </c>
      <c r="AB117" s="3">
        <v>1</v>
      </c>
      <c r="AC117" s="3">
        <v>0</v>
      </c>
      <c r="AD117" s="3">
        <v>1</v>
      </c>
      <c r="AE117" s="3">
        <f t="shared" si="3"/>
        <v>94.5</v>
      </c>
      <c r="AF117" s="3">
        <v>94.5</v>
      </c>
    </row>
    <row r="118" spans="1:33" s="3" customFormat="1" x14ac:dyDescent="0.25">
      <c r="A118" s="3">
        <v>319</v>
      </c>
      <c r="B118" s="3" t="str" cm="1">
        <f t="array" ref="B118">INDEX(Teams!$A$1:$N$1,1,SUMPRODUCT((Teams!$A$2:$N$13=C118&amp;" "&amp;D118)*COLUMN(A:N)))</f>
        <v>Bad News Bears</v>
      </c>
      <c r="C118" s="3" t="s">
        <v>90</v>
      </c>
      <c r="D118" s="3" t="s">
        <v>307</v>
      </c>
      <c r="E118" s="3" t="s">
        <v>31</v>
      </c>
      <c r="F118" s="3" t="s">
        <v>31</v>
      </c>
      <c r="G118" s="3" t="s">
        <v>136</v>
      </c>
      <c r="H118" s="3">
        <v>70</v>
      </c>
      <c r="I118" s="3">
        <v>34</v>
      </c>
      <c r="J118" s="3">
        <v>0</v>
      </c>
      <c r="K118" s="3">
        <v>200</v>
      </c>
      <c r="L118" s="3">
        <v>252</v>
      </c>
      <c r="M118" s="3">
        <v>79.400000000000006</v>
      </c>
      <c r="N118" s="4">
        <v>0.52300000000000002</v>
      </c>
      <c r="O118" s="3">
        <v>104</v>
      </c>
      <c r="P118" s="3">
        <v>95</v>
      </c>
      <c r="Q118" s="4">
        <v>0.19500000000000001</v>
      </c>
      <c r="S118" s="4">
        <v>0.26500000000000001</v>
      </c>
      <c r="T118" s="3">
        <v>76</v>
      </c>
      <c r="V118" s="3">
        <v>102</v>
      </c>
      <c r="W118" s="3">
        <v>89.4</v>
      </c>
      <c r="X118" s="3" t="s">
        <v>56</v>
      </c>
      <c r="Y118" s="3" t="s">
        <v>33</v>
      </c>
      <c r="Z118" s="3">
        <v>92.5</v>
      </c>
      <c r="AA118" s="3">
        <v>3.5</v>
      </c>
      <c r="AB118" s="3">
        <v>0</v>
      </c>
      <c r="AC118" s="3">
        <v>1</v>
      </c>
      <c r="AD118" s="3">
        <v>0</v>
      </c>
      <c r="AE118" s="3">
        <f t="shared" si="3"/>
        <v>93.9</v>
      </c>
      <c r="AF118" s="3">
        <v>92.9</v>
      </c>
      <c r="AG118" s="3" t="s">
        <v>308</v>
      </c>
    </row>
    <row r="119" spans="1:33" s="3" customFormat="1" x14ac:dyDescent="0.25">
      <c r="A119" s="3">
        <v>399</v>
      </c>
      <c r="B119" s="3" t="str" cm="1">
        <f t="array" ref="B119">INDEX(Teams!$A$1:$N$1,1,SUMPRODUCT((Teams!$A$2:$N$13=C119&amp;" "&amp;D119)*COLUMN(A:N)))</f>
        <v xml:space="preserve">  Buckeyes</v>
      </c>
      <c r="C119" s="3" t="s">
        <v>289</v>
      </c>
      <c r="D119" s="3" t="s">
        <v>306</v>
      </c>
      <c r="E119" s="3" t="s">
        <v>92</v>
      </c>
      <c r="F119" s="3" t="s">
        <v>31</v>
      </c>
      <c r="G119" s="3" t="s">
        <v>709</v>
      </c>
      <c r="H119" s="3">
        <v>65</v>
      </c>
      <c r="I119" s="3">
        <v>79</v>
      </c>
      <c r="J119" s="3">
        <v>0</v>
      </c>
      <c r="K119" s="3">
        <v>222</v>
      </c>
      <c r="L119" s="3">
        <v>231</v>
      </c>
      <c r="M119" s="3">
        <v>96.1</v>
      </c>
      <c r="N119" s="4">
        <v>0.55400000000000005</v>
      </c>
      <c r="O119" s="3">
        <v>123</v>
      </c>
      <c r="P119" s="3">
        <v>99</v>
      </c>
      <c r="Q119" s="4">
        <v>0.224</v>
      </c>
      <c r="S119" s="4">
        <v>0.224</v>
      </c>
      <c r="T119" s="3">
        <v>88</v>
      </c>
      <c r="V119" s="3">
        <v>87</v>
      </c>
      <c r="W119" s="3">
        <v>88.8</v>
      </c>
      <c r="X119" s="3" t="s">
        <v>56</v>
      </c>
      <c r="Y119" s="3" t="s">
        <v>33</v>
      </c>
      <c r="Z119" s="3">
        <v>100</v>
      </c>
      <c r="AA119" s="3">
        <v>1.5</v>
      </c>
      <c r="AB119" s="3">
        <v>1</v>
      </c>
      <c r="AC119" s="3">
        <v>0</v>
      </c>
      <c r="AD119" s="3">
        <v>2</v>
      </c>
      <c r="AE119" s="3">
        <f t="shared" si="3"/>
        <v>93.3</v>
      </c>
      <c r="AF119" s="3">
        <v>93.3</v>
      </c>
      <c r="AG119" s="3" t="s">
        <v>151</v>
      </c>
    </row>
    <row r="120" spans="1:33" s="5" customFormat="1" x14ac:dyDescent="0.25">
      <c r="A120" s="5">
        <v>270</v>
      </c>
      <c r="B120" s="3" t="str" cm="1">
        <f t="array" ref="B120">INDEX(Teams!$A$1:$N$1,1,SUMPRODUCT((Teams!$A$2:$N$13=C120&amp;" "&amp;D120)*COLUMN(A:N)))</f>
        <v>Big Dawgs</v>
      </c>
      <c r="C120" s="5" t="s">
        <v>187</v>
      </c>
      <c r="D120" s="5" t="s">
        <v>309</v>
      </c>
      <c r="E120" s="5" t="s">
        <v>139</v>
      </c>
      <c r="F120" s="5" t="s">
        <v>139</v>
      </c>
      <c r="G120" s="5" t="s">
        <v>42</v>
      </c>
      <c r="H120" s="5">
        <v>69</v>
      </c>
      <c r="I120" s="5">
        <v>82</v>
      </c>
      <c r="J120" s="5">
        <v>1</v>
      </c>
      <c r="K120" s="5">
        <v>339</v>
      </c>
      <c r="L120" s="5">
        <v>385</v>
      </c>
      <c r="M120" s="5">
        <v>88.1</v>
      </c>
      <c r="N120" s="6">
        <v>0.49199999999999999</v>
      </c>
      <c r="O120" s="5">
        <v>177</v>
      </c>
      <c r="P120" s="5">
        <v>183</v>
      </c>
      <c r="Q120" s="6">
        <v>0.23400000000000001</v>
      </c>
      <c r="S120" s="6">
        <v>0.251</v>
      </c>
      <c r="T120" s="5">
        <v>91</v>
      </c>
      <c r="V120" s="5">
        <v>97</v>
      </c>
      <c r="W120" s="5">
        <v>90.3</v>
      </c>
      <c r="X120" s="5" t="s">
        <v>310</v>
      </c>
      <c r="Y120" s="5" t="s">
        <v>33</v>
      </c>
      <c r="Z120" s="5">
        <v>100</v>
      </c>
      <c r="AA120" s="5">
        <v>0.5</v>
      </c>
      <c r="AB120" s="5">
        <v>1</v>
      </c>
      <c r="AC120" s="5">
        <v>0</v>
      </c>
      <c r="AD120" s="5">
        <v>1</v>
      </c>
      <c r="AE120" s="5">
        <f t="shared" si="3"/>
        <v>92.8</v>
      </c>
      <c r="AF120" s="5">
        <v>92.8</v>
      </c>
      <c r="AG120" s="5" t="s">
        <v>311</v>
      </c>
    </row>
    <row r="121" spans="1:33" s="3" customFormat="1" x14ac:dyDescent="0.25">
      <c r="A121" s="3">
        <v>438</v>
      </c>
      <c r="B121" s="3" t="str" cm="1">
        <f t="array" ref="B121">INDEX(Teams!$A$1:$N$1,1,SUMPRODUCT((Teams!$A$2:$N$13=C121&amp;" "&amp;D121)*COLUMN(A:N)))</f>
        <v>Lightning Strikes</v>
      </c>
      <c r="C121" s="3" t="s">
        <v>141</v>
      </c>
      <c r="D121" s="3" t="s">
        <v>312</v>
      </c>
      <c r="E121" s="3" t="s">
        <v>136</v>
      </c>
      <c r="F121" s="3" t="s">
        <v>42</v>
      </c>
      <c r="G121" s="3" t="s">
        <v>505</v>
      </c>
      <c r="H121" s="3">
        <v>61</v>
      </c>
      <c r="I121" s="3">
        <v>74</v>
      </c>
      <c r="J121" s="3">
        <v>0</v>
      </c>
      <c r="K121" s="3">
        <v>163</v>
      </c>
      <c r="L121" s="3">
        <v>190</v>
      </c>
      <c r="M121" s="3">
        <v>85.8</v>
      </c>
      <c r="N121" s="4">
        <v>0.58299999999999996</v>
      </c>
      <c r="O121" s="3">
        <v>95</v>
      </c>
      <c r="P121" s="3">
        <v>68</v>
      </c>
      <c r="Q121" s="4">
        <v>0.192</v>
      </c>
      <c r="S121" s="4">
        <v>0.248</v>
      </c>
      <c r="T121" s="3">
        <v>75</v>
      </c>
      <c r="V121" s="3">
        <v>96</v>
      </c>
      <c r="W121" s="3">
        <v>86.6</v>
      </c>
      <c r="X121" s="3" t="s">
        <v>56</v>
      </c>
      <c r="Y121" s="3" t="s">
        <v>33</v>
      </c>
      <c r="Z121" s="3">
        <v>100</v>
      </c>
      <c r="AA121" s="3">
        <v>2</v>
      </c>
      <c r="AB121" s="3">
        <v>3</v>
      </c>
      <c r="AC121" s="3">
        <v>0</v>
      </c>
      <c r="AD121" s="3">
        <v>1</v>
      </c>
      <c r="AE121" s="3">
        <f t="shared" si="3"/>
        <v>92.6</v>
      </c>
      <c r="AF121" s="3">
        <v>92.6</v>
      </c>
    </row>
    <row r="122" spans="1:33" s="3" customFormat="1" x14ac:dyDescent="0.25">
      <c r="A122" s="3">
        <v>570</v>
      </c>
      <c r="B122" s="3" t="str" cm="1">
        <f t="array" ref="B122">INDEX(Teams!$A$1:$N$1,1,SUMPRODUCT((Teams!$A$2:$N$13=C122&amp;" "&amp;D122)*COLUMN(A:N)))</f>
        <v xml:space="preserve">  Norsemen</v>
      </c>
      <c r="C122" s="3" t="s">
        <v>313</v>
      </c>
      <c r="D122" s="3" t="s">
        <v>314</v>
      </c>
      <c r="E122" s="3" t="s">
        <v>47</v>
      </c>
      <c r="F122" s="3" t="s">
        <v>420</v>
      </c>
      <c r="G122" s="3" t="s">
        <v>139</v>
      </c>
      <c r="H122" s="3">
        <v>62</v>
      </c>
      <c r="I122" s="3">
        <v>75</v>
      </c>
      <c r="J122" s="3">
        <v>0</v>
      </c>
      <c r="K122" s="3">
        <v>57</v>
      </c>
      <c r="L122" s="3">
        <v>66</v>
      </c>
      <c r="M122" s="3">
        <v>86.4</v>
      </c>
      <c r="N122" s="4">
        <v>0.45600000000000002</v>
      </c>
      <c r="O122" s="3">
        <v>26</v>
      </c>
      <c r="P122" s="3">
        <v>31</v>
      </c>
      <c r="Q122" s="4">
        <v>0.23400000000000001</v>
      </c>
      <c r="S122" s="4">
        <v>0.20699999999999999</v>
      </c>
      <c r="T122" s="3">
        <v>91</v>
      </c>
      <c r="V122" s="3">
        <v>80</v>
      </c>
      <c r="W122" s="3">
        <v>85.4</v>
      </c>
      <c r="X122" s="3" t="s">
        <v>56</v>
      </c>
      <c r="Y122" s="3" t="s">
        <v>33</v>
      </c>
      <c r="Z122" s="3">
        <v>100</v>
      </c>
      <c r="AA122" s="3">
        <v>2.5</v>
      </c>
      <c r="AB122" s="3">
        <v>3</v>
      </c>
      <c r="AC122" s="3">
        <v>0</v>
      </c>
      <c r="AD122" s="3">
        <v>1</v>
      </c>
      <c r="AE122" s="3">
        <f t="shared" si="3"/>
        <v>91.9</v>
      </c>
      <c r="AF122" s="3">
        <v>91.9</v>
      </c>
      <c r="AG122" s="3" t="s">
        <v>224</v>
      </c>
    </row>
    <row r="123" spans="1:33" s="3" customFormat="1" x14ac:dyDescent="0.25">
      <c r="A123" s="3">
        <v>606</v>
      </c>
      <c r="B123" s="3" t="str" cm="1">
        <f t="array" ref="B123">INDEX(Teams!$A$1:$N$1,1,SUMPRODUCT((Teams!$A$2:$N$13=C123&amp;" "&amp;D123)*COLUMN(A:N)))</f>
        <v xml:space="preserve">Tigers   </v>
      </c>
      <c r="C123" s="3" t="s">
        <v>190</v>
      </c>
      <c r="D123" s="3" t="s">
        <v>315</v>
      </c>
      <c r="E123" s="3" t="s">
        <v>136</v>
      </c>
      <c r="F123" s="3" t="s">
        <v>764</v>
      </c>
      <c r="G123" s="3" t="s">
        <v>454</v>
      </c>
      <c r="H123" s="3">
        <v>57</v>
      </c>
      <c r="I123" s="3">
        <v>76</v>
      </c>
      <c r="J123" s="3">
        <v>1</v>
      </c>
      <c r="K123" s="3">
        <v>24</v>
      </c>
      <c r="L123" s="3">
        <v>42</v>
      </c>
      <c r="M123" s="3">
        <v>57.1</v>
      </c>
      <c r="N123" s="4">
        <v>0.41699999999999998</v>
      </c>
      <c r="O123" s="3">
        <v>10</v>
      </c>
      <c r="P123" s="3">
        <v>14</v>
      </c>
      <c r="Q123" s="4">
        <v>0.22900000000000001</v>
      </c>
      <c r="R123" s="4">
        <v>0.221</v>
      </c>
      <c r="T123" s="3">
        <v>90</v>
      </c>
      <c r="U123" s="3">
        <v>88</v>
      </c>
      <c r="W123" s="3">
        <v>88.8</v>
      </c>
      <c r="X123" s="3" t="s">
        <v>316</v>
      </c>
      <c r="Y123" s="3" t="s">
        <v>192</v>
      </c>
      <c r="Z123" s="3">
        <v>78.400000000000006</v>
      </c>
      <c r="AA123" s="3">
        <v>2</v>
      </c>
      <c r="AB123" s="3">
        <v>5</v>
      </c>
      <c r="AC123" s="3">
        <v>0</v>
      </c>
      <c r="AD123" s="3">
        <v>-4</v>
      </c>
      <c r="AE123" s="3">
        <f t="shared" si="3"/>
        <v>91.8</v>
      </c>
      <c r="AF123" s="3">
        <v>91.8</v>
      </c>
      <c r="AG123" s="3" t="s">
        <v>317</v>
      </c>
    </row>
    <row r="124" spans="1:33" s="3" customFormat="1" x14ac:dyDescent="0.25">
      <c r="A124" s="3">
        <v>202</v>
      </c>
      <c r="B124" s="3" t="str" cm="1">
        <f t="array" ref="B124">INDEX(Teams!$A$1:$N$1,1,SUMPRODUCT((Teams!$A$2:$N$13=C124&amp;" "&amp;D124)*COLUMN(A:N)))</f>
        <v xml:space="preserve">Bearcats  </v>
      </c>
      <c r="C124" s="3" t="s">
        <v>98</v>
      </c>
      <c r="D124" s="3" t="s">
        <v>318</v>
      </c>
      <c r="E124" s="3" t="s">
        <v>139</v>
      </c>
      <c r="F124" s="3" t="s">
        <v>139</v>
      </c>
      <c r="G124" s="3" t="s">
        <v>472</v>
      </c>
      <c r="H124" s="3">
        <v>70</v>
      </c>
      <c r="I124" s="3">
        <v>82</v>
      </c>
      <c r="J124" s="3">
        <v>0</v>
      </c>
      <c r="K124" s="3">
        <v>347</v>
      </c>
      <c r="L124" s="3">
        <v>383</v>
      </c>
      <c r="M124" s="3">
        <v>90.6</v>
      </c>
      <c r="N124" s="4">
        <v>0.52200000000000002</v>
      </c>
      <c r="O124" s="3">
        <v>239</v>
      </c>
      <c r="P124" s="3">
        <v>219</v>
      </c>
      <c r="Q124" s="4">
        <v>0.217</v>
      </c>
      <c r="R124" s="4">
        <v>0.23499999999999999</v>
      </c>
      <c r="S124" s="4">
        <v>0.24399999999999999</v>
      </c>
      <c r="T124" s="3">
        <v>85</v>
      </c>
      <c r="U124" s="3">
        <v>94</v>
      </c>
      <c r="V124" s="3">
        <v>94</v>
      </c>
      <c r="W124" s="3">
        <v>89.3</v>
      </c>
      <c r="X124" s="3" t="s">
        <v>32</v>
      </c>
      <c r="Y124" s="3" t="s">
        <v>33</v>
      </c>
      <c r="Z124" s="3">
        <v>100</v>
      </c>
      <c r="AA124" s="3">
        <v>0.5</v>
      </c>
      <c r="AB124" s="3">
        <v>0</v>
      </c>
      <c r="AC124" s="3">
        <v>0</v>
      </c>
      <c r="AD124" s="3">
        <v>2</v>
      </c>
      <c r="AE124" s="3">
        <f t="shared" si="3"/>
        <v>91.8</v>
      </c>
      <c r="AF124" s="3">
        <v>91.8</v>
      </c>
    </row>
    <row r="125" spans="1:33" s="3" customFormat="1" x14ac:dyDescent="0.25">
      <c r="A125" s="3">
        <v>603</v>
      </c>
      <c r="B125" s="3" t="str" cm="1">
        <f t="array" ref="B125">INDEX(Teams!$A$1:$N$1,1,SUMPRODUCT((Teams!$A$2:$N$13=C125&amp;" "&amp;D125)*COLUMN(A:N)))</f>
        <v xml:space="preserve">Rebels  </v>
      </c>
      <c r="C125" s="3" t="s">
        <v>51</v>
      </c>
      <c r="D125" s="3" t="s">
        <v>319</v>
      </c>
      <c r="E125" s="3" t="s">
        <v>47</v>
      </c>
      <c r="F125" s="3" t="s">
        <v>420</v>
      </c>
      <c r="G125" s="3" t="s">
        <v>420</v>
      </c>
      <c r="H125" s="3">
        <v>50</v>
      </c>
      <c r="I125" s="3">
        <v>30</v>
      </c>
      <c r="J125" s="3">
        <v>2</v>
      </c>
      <c r="K125" s="3">
        <v>15</v>
      </c>
      <c r="L125" s="3">
        <v>42</v>
      </c>
      <c r="M125" s="3">
        <v>35.700000000000003</v>
      </c>
      <c r="N125" s="4">
        <v>0.46700000000000003</v>
      </c>
      <c r="O125" s="3">
        <v>7</v>
      </c>
      <c r="P125" s="3">
        <v>8</v>
      </c>
      <c r="Q125" s="4">
        <v>0.23499999999999999</v>
      </c>
      <c r="R125" s="4">
        <v>0.20300000000000001</v>
      </c>
      <c r="T125" s="3">
        <v>92</v>
      </c>
      <c r="U125" s="3">
        <v>81</v>
      </c>
      <c r="W125" s="3">
        <v>87.8</v>
      </c>
      <c r="X125" s="3" t="s">
        <v>316</v>
      </c>
      <c r="Y125" s="3" t="s">
        <v>192</v>
      </c>
      <c r="Z125" s="3">
        <v>78.400000000000006</v>
      </c>
      <c r="AA125" s="3">
        <v>2.5</v>
      </c>
      <c r="AB125" s="3">
        <v>5</v>
      </c>
      <c r="AC125" s="3">
        <v>0</v>
      </c>
      <c r="AD125" s="3">
        <v>-4</v>
      </c>
      <c r="AE125" s="3">
        <f t="shared" si="3"/>
        <v>91.3</v>
      </c>
      <c r="AF125" s="3">
        <v>91.3</v>
      </c>
      <c r="AG125" s="3" t="s">
        <v>151</v>
      </c>
    </row>
    <row r="126" spans="1:33" s="3" customFormat="1" x14ac:dyDescent="0.25">
      <c r="A126" s="3">
        <v>237</v>
      </c>
      <c r="B126" s="3" t="str" cm="1">
        <f t="array" ref="B126">INDEX(Teams!$A$1:$N$1,1,SUMPRODUCT((Teams!$A$2:$N$13=C126&amp;" "&amp;D126)*COLUMN(A:N)))</f>
        <v>Bad News Bears</v>
      </c>
      <c r="C126" s="3" t="s">
        <v>126</v>
      </c>
      <c r="D126" s="3" t="s">
        <v>320</v>
      </c>
      <c r="E126" s="3" t="s">
        <v>31</v>
      </c>
      <c r="F126" s="3" t="s">
        <v>459</v>
      </c>
      <c r="G126" s="3" t="s">
        <v>420</v>
      </c>
      <c r="H126" s="3">
        <v>71</v>
      </c>
      <c r="I126" s="3">
        <v>80</v>
      </c>
      <c r="J126" s="3">
        <v>0</v>
      </c>
      <c r="K126" s="3">
        <v>337</v>
      </c>
      <c r="L126" s="3">
        <v>368</v>
      </c>
      <c r="M126" s="3">
        <v>91.6</v>
      </c>
      <c r="N126" s="4">
        <v>0.48099999999999998</v>
      </c>
      <c r="O126" s="3">
        <v>243</v>
      </c>
      <c r="P126" s="3">
        <v>262</v>
      </c>
      <c r="Q126" s="4">
        <v>0.20799999999999999</v>
      </c>
      <c r="R126" s="4">
        <v>0.22500000000000001</v>
      </c>
      <c r="S126" s="4">
        <v>0.23300000000000001</v>
      </c>
      <c r="T126" s="3">
        <v>81</v>
      </c>
      <c r="U126" s="3">
        <v>90</v>
      </c>
      <c r="V126" s="3">
        <v>90</v>
      </c>
      <c r="W126" s="3">
        <v>85.5</v>
      </c>
      <c r="X126" s="3" t="s">
        <v>32</v>
      </c>
      <c r="Y126" s="3" t="s">
        <v>33</v>
      </c>
      <c r="Z126" s="3">
        <v>100</v>
      </c>
      <c r="AA126" s="3">
        <v>3.5</v>
      </c>
      <c r="AB126" s="3">
        <v>0</v>
      </c>
      <c r="AC126" s="3">
        <v>0</v>
      </c>
      <c r="AD126" s="3">
        <v>2</v>
      </c>
      <c r="AE126" s="3">
        <f t="shared" si="3"/>
        <v>91</v>
      </c>
      <c r="AF126" s="3">
        <v>91</v>
      </c>
    </row>
    <row r="127" spans="1:33" s="3" customFormat="1" x14ac:dyDescent="0.25">
      <c r="A127" s="3">
        <v>502</v>
      </c>
      <c r="B127" s="3" t="str" cm="1">
        <f t="array" ref="B127">INDEX(Teams!$A$1:$N$1,1,SUMPRODUCT((Teams!$A$2:$N$13=C127&amp;" "&amp;D127)*COLUMN(A:N)))</f>
        <v>Lightning Strikes</v>
      </c>
      <c r="C127" s="3" t="s">
        <v>252</v>
      </c>
      <c r="D127" s="3" t="s">
        <v>321</v>
      </c>
      <c r="E127" s="3" t="s">
        <v>136</v>
      </c>
      <c r="F127" s="3" t="s">
        <v>139</v>
      </c>
      <c r="G127" s="3" t="s">
        <v>136</v>
      </c>
      <c r="H127" s="3">
        <v>65</v>
      </c>
      <c r="I127" s="3">
        <v>0</v>
      </c>
      <c r="J127" s="3">
        <v>0</v>
      </c>
      <c r="K127" s="3">
        <v>64</v>
      </c>
      <c r="L127" s="3">
        <v>66</v>
      </c>
      <c r="M127" s="3">
        <v>97</v>
      </c>
      <c r="N127" s="4">
        <v>0.40600000000000003</v>
      </c>
      <c r="O127" s="3">
        <v>26</v>
      </c>
      <c r="P127" s="3">
        <v>38</v>
      </c>
      <c r="Q127" s="4">
        <v>0</v>
      </c>
      <c r="S127" s="4">
        <v>0.183</v>
      </c>
      <c r="T127" s="3">
        <v>0</v>
      </c>
      <c r="V127" s="3">
        <v>71</v>
      </c>
      <c r="W127" s="3">
        <v>85.9</v>
      </c>
      <c r="X127" s="3" t="s">
        <v>43</v>
      </c>
      <c r="Y127" s="3" t="s">
        <v>33</v>
      </c>
      <c r="Z127" s="3">
        <v>100</v>
      </c>
      <c r="AA127" s="3">
        <v>2</v>
      </c>
      <c r="AB127" s="3">
        <v>1</v>
      </c>
      <c r="AC127" s="3">
        <v>0</v>
      </c>
      <c r="AD127" s="3">
        <v>2</v>
      </c>
      <c r="AE127" s="3">
        <f t="shared" si="3"/>
        <v>90.9</v>
      </c>
      <c r="AF127" s="3">
        <v>90.9</v>
      </c>
      <c r="AG127" s="3" t="s">
        <v>322</v>
      </c>
    </row>
    <row r="128" spans="1:33" s="3" customFormat="1" x14ac:dyDescent="0.25">
      <c r="A128" s="3">
        <v>469</v>
      </c>
      <c r="B128" s="3" t="str" cm="1">
        <f t="array" ref="B128">INDEX(Teams!$A$1:$N$1,1,SUMPRODUCT((Teams!$A$2:$N$13=C128&amp;" "&amp;D128)*COLUMN(A:N)))</f>
        <v xml:space="preserve">  Xtreme</v>
      </c>
      <c r="C128" s="3" t="s">
        <v>328</v>
      </c>
      <c r="D128" s="3" t="s">
        <v>329</v>
      </c>
      <c r="E128" s="3" t="s">
        <v>47</v>
      </c>
      <c r="F128" s="3" t="s">
        <v>420</v>
      </c>
      <c r="G128" s="3" t="s">
        <v>31</v>
      </c>
      <c r="H128" s="3">
        <v>69</v>
      </c>
      <c r="I128" s="3">
        <v>75</v>
      </c>
      <c r="J128" s="3">
        <v>0</v>
      </c>
      <c r="K128" s="3">
        <v>145</v>
      </c>
      <c r="L128" s="3">
        <v>172</v>
      </c>
      <c r="M128" s="3">
        <v>84.3</v>
      </c>
      <c r="N128" s="4">
        <v>0.55200000000000005</v>
      </c>
      <c r="O128" s="3">
        <v>80</v>
      </c>
      <c r="P128" s="3">
        <v>65</v>
      </c>
      <c r="Q128" s="4">
        <v>0.188</v>
      </c>
      <c r="S128" s="4">
        <v>0.247</v>
      </c>
      <c r="T128" s="3">
        <v>74</v>
      </c>
      <c r="V128" s="3">
        <v>95</v>
      </c>
      <c r="W128" s="3">
        <v>84.4</v>
      </c>
      <c r="X128" s="3" t="s">
        <v>56</v>
      </c>
      <c r="Y128" s="3" t="s">
        <v>33</v>
      </c>
      <c r="Z128" s="3">
        <v>100</v>
      </c>
      <c r="AA128" s="3">
        <v>2.5</v>
      </c>
      <c r="AB128" s="3">
        <v>1</v>
      </c>
      <c r="AC128" s="3">
        <v>2</v>
      </c>
      <c r="AD128" s="3">
        <v>1</v>
      </c>
      <c r="AE128" s="3">
        <f t="shared" si="3"/>
        <v>90.9</v>
      </c>
      <c r="AF128" s="3">
        <v>88.9</v>
      </c>
      <c r="AG128" s="3" t="s">
        <v>330</v>
      </c>
    </row>
    <row r="129" spans="1:33" s="3" customFormat="1" x14ac:dyDescent="0.25">
      <c r="A129" s="3">
        <v>359</v>
      </c>
      <c r="B129" s="3" t="str" cm="1">
        <f t="array" ref="B129">INDEX(Teams!$A$1:$N$1,1,SUMPRODUCT((Teams!$A$2:$N$13=C129&amp;" "&amp;D129)*COLUMN(A:N)))</f>
        <v>Bad News Bears</v>
      </c>
      <c r="C129" s="3" t="s">
        <v>98</v>
      </c>
      <c r="D129" s="3" t="s">
        <v>323</v>
      </c>
      <c r="E129" s="3" t="s">
        <v>143</v>
      </c>
      <c r="F129" s="3" t="s">
        <v>420</v>
      </c>
      <c r="G129" s="3" t="s">
        <v>420</v>
      </c>
      <c r="H129" s="3">
        <v>65</v>
      </c>
      <c r="I129" s="3">
        <v>78</v>
      </c>
      <c r="J129" s="3">
        <v>0</v>
      </c>
      <c r="K129" s="3">
        <v>334</v>
      </c>
      <c r="L129" s="3">
        <v>377</v>
      </c>
      <c r="M129" s="3">
        <v>88.6</v>
      </c>
      <c r="N129" s="4">
        <v>0.38900000000000001</v>
      </c>
      <c r="O129" s="3">
        <v>130</v>
      </c>
      <c r="P129" s="3">
        <v>204</v>
      </c>
      <c r="Q129" s="4">
        <v>0.20699999999999999</v>
      </c>
      <c r="R129" s="4">
        <v>0.26700000000000002</v>
      </c>
      <c r="S129" s="4">
        <v>0.184</v>
      </c>
      <c r="T129" s="3">
        <v>81</v>
      </c>
      <c r="U129" s="3">
        <v>106</v>
      </c>
      <c r="V129" s="3">
        <v>71</v>
      </c>
      <c r="W129" s="3">
        <v>86.7</v>
      </c>
      <c r="X129" s="3" t="s">
        <v>32</v>
      </c>
      <c r="Y129" s="3" t="s">
        <v>33</v>
      </c>
      <c r="Z129" s="3">
        <v>100</v>
      </c>
      <c r="AA129" s="3">
        <v>1.5</v>
      </c>
      <c r="AB129" s="3">
        <v>1</v>
      </c>
      <c r="AC129" s="3">
        <v>0</v>
      </c>
      <c r="AD129" s="3">
        <v>1</v>
      </c>
      <c r="AE129" s="3">
        <f t="shared" si="3"/>
        <v>90.2</v>
      </c>
      <c r="AF129" s="3">
        <v>90.2</v>
      </c>
      <c r="AG129" s="3" t="s">
        <v>324</v>
      </c>
    </row>
    <row r="130" spans="1:33" x14ac:dyDescent="0.25">
      <c r="A130" s="5">
        <v>218</v>
      </c>
      <c r="B130" s="3" t="str" cm="1">
        <f t="array" ref="B130">INDEX(Teams!$A$1:$N$1,1,SUMPRODUCT((Teams!$A$2:$N$13=C130&amp;" "&amp;D130)*COLUMN(A:N)))</f>
        <v xml:space="preserve">Rebels  </v>
      </c>
      <c r="C130" s="5" t="s">
        <v>98</v>
      </c>
      <c r="D130" s="5" t="s">
        <v>325</v>
      </c>
      <c r="E130" s="5" t="s">
        <v>136</v>
      </c>
      <c r="F130" s="5" t="s">
        <v>92</v>
      </c>
      <c r="G130" s="5" t="s">
        <v>539</v>
      </c>
      <c r="H130" s="5">
        <v>70</v>
      </c>
      <c r="I130" s="5">
        <v>81</v>
      </c>
      <c r="J130" s="5">
        <v>0</v>
      </c>
      <c r="K130" s="5">
        <v>372</v>
      </c>
      <c r="L130" s="5">
        <v>383</v>
      </c>
      <c r="M130" s="5">
        <v>97.1</v>
      </c>
      <c r="N130" s="6">
        <v>0.45400000000000001</v>
      </c>
      <c r="O130" s="5">
        <v>258</v>
      </c>
      <c r="P130" s="5">
        <v>310</v>
      </c>
      <c r="Q130" s="6">
        <v>0.22800000000000001</v>
      </c>
      <c r="R130" s="6">
        <v>0.20300000000000001</v>
      </c>
      <c r="S130" s="6">
        <v>0.22600000000000001</v>
      </c>
      <c r="T130" s="5">
        <v>89</v>
      </c>
      <c r="U130" s="5">
        <v>81</v>
      </c>
      <c r="V130" s="5">
        <v>87</v>
      </c>
      <c r="W130" s="5">
        <v>86.2</v>
      </c>
      <c r="X130" s="5" t="s">
        <v>32</v>
      </c>
      <c r="Y130" s="5" t="s">
        <v>33</v>
      </c>
      <c r="Z130" s="5">
        <v>100</v>
      </c>
      <c r="AA130" s="5">
        <v>2</v>
      </c>
      <c r="AB130" s="5">
        <v>0</v>
      </c>
      <c r="AC130" s="5">
        <v>0</v>
      </c>
      <c r="AD130" s="5">
        <v>2</v>
      </c>
      <c r="AE130" s="5">
        <f t="shared" ref="AE130:AE161" si="4">AF130+AC130</f>
        <v>90.2</v>
      </c>
      <c r="AF130" s="5">
        <v>90.2</v>
      </c>
      <c r="AG130" s="5" t="s">
        <v>173</v>
      </c>
    </row>
    <row r="131" spans="1:33" s="3" customFormat="1" x14ac:dyDescent="0.25">
      <c r="A131" s="3">
        <v>210</v>
      </c>
      <c r="B131" s="3" t="str" cm="1">
        <f t="array" ref="B131">INDEX(Teams!$A$1:$N$1,1,SUMPRODUCT((Teams!$A$2:$N$13=C131&amp;" "&amp;D131)*COLUMN(A:N)))</f>
        <v>Bad News Bears</v>
      </c>
      <c r="C131" s="3" t="s">
        <v>326</v>
      </c>
      <c r="D131" s="3" t="s">
        <v>327</v>
      </c>
      <c r="E131" s="3" t="s">
        <v>92</v>
      </c>
      <c r="F131" s="3" t="s">
        <v>622</v>
      </c>
      <c r="G131" s="3" t="s">
        <v>622</v>
      </c>
      <c r="H131" s="3">
        <v>79</v>
      </c>
      <c r="I131" s="3">
        <v>69</v>
      </c>
      <c r="J131" s="3">
        <v>0</v>
      </c>
      <c r="K131" s="3">
        <v>259</v>
      </c>
      <c r="L131" s="3">
        <v>346</v>
      </c>
      <c r="M131" s="3">
        <v>74.900000000000006</v>
      </c>
      <c r="N131" s="4">
        <v>0.47599999999999998</v>
      </c>
      <c r="O131" s="3">
        <v>197</v>
      </c>
      <c r="P131" s="3">
        <v>217</v>
      </c>
      <c r="Q131" s="4">
        <v>0.23400000000000001</v>
      </c>
      <c r="R131" s="4">
        <v>0.219</v>
      </c>
      <c r="S131" s="4">
        <v>0.23300000000000001</v>
      </c>
      <c r="T131" s="3">
        <v>91</v>
      </c>
      <c r="U131" s="3">
        <v>87</v>
      </c>
      <c r="V131" s="3">
        <v>90</v>
      </c>
      <c r="W131" s="3">
        <v>89.9</v>
      </c>
      <c r="X131" s="3" t="s">
        <v>32</v>
      </c>
      <c r="Y131" s="3" t="s">
        <v>33</v>
      </c>
      <c r="Z131" s="3">
        <v>100</v>
      </c>
      <c r="AA131" s="3">
        <v>1.5</v>
      </c>
      <c r="AB131" s="3">
        <v>-2</v>
      </c>
      <c r="AC131" s="3">
        <v>0</v>
      </c>
      <c r="AD131" s="3">
        <v>0</v>
      </c>
      <c r="AE131" s="3">
        <f t="shared" si="4"/>
        <v>89.4</v>
      </c>
      <c r="AF131" s="3">
        <v>89.4</v>
      </c>
    </row>
    <row r="132" spans="1:33" s="3" customFormat="1" x14ac:dyDescent="0.25">
      <c r="A132" s="3">
        <v>421</v>
      </c>
      <c r="B132" s="3" t="str" cm="1">
        <f t="array" ref="B132">INDEX(Teams!$A$1:$N$1,1,SUMPRODUCT((Teams!$A$2:$N$13=C132&amp;" "&amp;D132)*COLUMN(A:N)))</f>
        <v xml:space="preserve">  Xtreme</v>
      </c>
      <c r="C132" s="3" t="s">
        <v>35</v>
      </c>
      <c r="D132" s="3" t="s">
        <v>331</v>
      </c>
      <c r="E132" s="3" t="s">
        <v>192</v>
      </c>
      <c r="F132" s="3" t="s">
        <v>676</v>
      </c>
      <c r="G132" s="3" t="s">
        <v>568</v>
      </c>
      <c r="H132" s="3">
        <v>63</v>
      </c>
      <c r="I132" s="3">
        <v>0</v>
      </c>
      <c r="J132" s="3">
        <v>0</v>
      </c>
      <c r="K132" s="3">
        <v>188</v>
      </c>
      <c r="L132" s="3">
        <v>244</v>
      </c>
      <c r="M132" s="3">
        <v>77</v>
      </c>
      <c r="N132" s="4">
        <v>0.441</v>
      </c>
      <c r="O132" s="3">
        <v>83</v>
      </c>
      <c r="P132" s="3">
        <v>105</v>
      </c>
      <c r="Q132" s="4">
        <v>0</v>
      </c>
      <c r="R132" s="4">
        <v>0.23400000000000001</v>
      </c>
      <c r="T132" s="3">
        <v>0</v>
      </c>
      <c r="U132" s="3">
        <v>93</v>
      </c>
      <c r="W132" s="3">
        <v>85.5</v>
      </c>
      <c r="X132" s="3" t="s">
        <v>197</v>
      </c>
      <c r="Y132" s="3" t="s">
        <v>192</v>
      </c>
      <c r="Z132" s="3">
        <v>74.5</v>
      </c>
      <c r="AA132" s="3">
        <v>0</v>
      </c>
      <c r="AB132" s="3">
        <v>3</v>
      </c>
      <c r="AC132" s="3">
        <v>0</v>
      </c>
      <c r="AD132" s="3">
        <v>0</v>
      </c>
      <c r="AE132" s="3">
        <f t="shared" si="4"/>
        <v>88.5</v>
      </c>
      <c r="AF132" s="3">
        <v>88.5</v>
      </c>
      <c r="AG132" s="3" t="s">
        <v>324</v>
      </c>
    </row>
    <row r="133" spans="1:33" s="3" customFormat="1" x14ac:dyDescent="0.25">
      <c r="A133" s="3">
        <v>593</v>
      </c>
      <c r="B133" s="3" t="str" cm="1">
        <f t="array" ref="B133">INDEX(Teams!$A$1:$N$1,1,SUMPRODUCT((Teams!$A$2:$N$13=C133&amp;" "&amp;D133)*COLUMN(A:N)))</f>
        <v xml:space="preserve">Shorebirds  </v>
      </c>
      <c r="C133" s="3" t="s">
        <v>29</v>
      </c>
      <c r="D133" s="3" t="s">
        <v>332</v>
      </c>
      <c r="E133" s="3" t="s">
        <v>47</v>
      </c>
      <c r="F133" s="3" t="s">
        <v>420</v>
      </c>
      <c r="G133" s="3" t="s">
        <v>31</v>
      </c>
      <c r="H133" s="3">
        <v>62</v>
      </c>
      <c r="I133" s="3">
        <v>0</v>
      </c>
      <c r="J133" s="3">
        <v>0</v>
      </c>
      <c r="K133" s="3">
        <v>13</v>
      </c>
      <c r="L133" s="3">
        <v>22</v>
      </c>
      <c r="M133" s="3">
        <v>59.1</v>
      </c>
      <c r="N133" s="4">
        <v>0.53800000000000003</v>
      </c>
      <c r="O133" s="3">
        <v>7</v>
      </c>
      <c r="P133" s="3">
        <v>6</v>
      </c>
      <c r="Q133" s="4">
        <v>0</v>
      </c>
      <c r="S133" s="4">
        <v>0.22500000000000001</v>
      </c>
      <c r="T133" s="3">
        <v>0</v>
      </c>
      <c r="V133" s="3">
        <v>87</v>
      </c>
      <c r="W133" s="3">
        <v>86.9</v>
      </c>
      <c r="X133" s="3" t="s">
        <v>102</v>
      </c>
      <c r="Y133" s="3" t="s">
        <v>86</v>
      </c>
      <c r="Z133" s="3">
        <v>69.099999999999994</v>
      </c>
      <c r="AA133" s="3">
        <v>2.5</v>
      </c>
      <c r="AB133" s="3">
        <v>3</v>
      </c>
      <c r="AC133" s="3">
        <v>0</v>
      </c>
      <c r="AD133" s="3">
        <v>-4</v>
      </c>
      <c r="AE133" s="3">
        <f t="shared" si="4"/>
        <v>88.4</v>
      </c>
      <c r="AF133" s="3">
        <v>88.4</v>
      </c>
      <c r="AG133" s="3" t="s">
        <v>333</v>
      </c>
    </row>
    <row r="134" spans="1:33" s="3" customFormat="1" x14ac:dyDescent="0.25">
      <c r="A134" s="3">
        <v>528</v>
      </c>
      <c r="B134" s="3" t="str" cm="1">
        <f t="array" ref="B134">INDEX(Teams!$A$1:$N$1,1,SUMPRODUCT((Teams!$A$2:$N$13=C134&amp;" "&amp;D134)*COLUMN(A:N)))</f>
        <v xml:space="preserve">  Buckeyes</v>
      </c>
      <c r="C134" s="3" t="s">
        <v>35</v>
      </c>
      <c r="D134" s="3" t="s">
        <v>334</v>
      </c>
      <c r="E134" s="3" t="s">
        <v>143</v>
      </c>
      <c r="F134" s="3" t="s">
        <v>519</v>
      </c>
      <c r="G134" s="3" t="s">
        <v>420</v>
      </c>
      <c r="H134" s="3">
        <v>59</v>
      </c>
      <c r="I134" s="3">
        <v>63</v>
      </c>
      <c r="J134" s="3">
        <v>0</v>
      </c>
      <c r="K134" s="3">
        <v>132</v>
      </c>
      <c r="L134" s="3">
        <v>147</v>
      </c>
      <c r="M134" s="3">
        <v>89.8</v>
      </c>
      <c r="N134" s="4">
        <v>0.48499999999999999</v>
      </c>
      <c r="O134" s="3">
        <v>64</v>
      </c>
      <c r="P134" s="3">
        <v>68</v>
      </c>
      <c r="Q134" s="4">
        <v>0.17799999999999999</v>
      </c>
      <c r="R134" s="4">
        <v>0.224</v>
      </c>
      <c r="S134" s="4">
        <v>0.23200000000000001</v>
      </c>
      <c r="T134" s="3">
        <v>70</v>
      </c>
      <c r="U134" s="3">
        <v>89</v>
      </c>
      <c r="V134" s="3">
        <v>90</v>
      </c>
      <c r="W134" s="3">
        <v>79.5</v>
      </c>
      <c r="X134" s="3" t="s">
        <v>32</v>
      </c>
      <c r="Y134" s="3" t="s">
        <v>33</v>
      </c>
      <c r="Z134" s="3">
        <v>100</v>
      </c>
      <c r="AA134" s="3">
        <v>1.5</v>
      </c>
      <c r="AB134" s="3">
        <v>5</v>
      </c>
      <c r="AC134" s="3">
        <v>1</v>
      </c>
      <c r="AD134" s="3">
        <v>1</v>
      </c>
      <c r="AE134" s="3">
        <f t="shared" si="4"/>
        <v>88</v>
      </c>
      <c r="AF134" s="3">
        <v>87</v>
      </c>
    </row>
    <row r="135" spans="1:33" s="3" customFormat="1" x14ac:dyDescent="0.25">
      <c r="A135" s="3">
        <v>561</v>
      </c>
      <c r="B135" s="3" t="str" cm="1">
        <f t="array" ref="B135">INDEX(Teams!$A$1:$N$1,1,SUMPRODUCT((Teams!$A$2:$N$13=C135&amp;" "&amp;D135)*COLUMN(A:N)))</f>
        <v xml:space="preserve">  Buckeyes</v>
      </c>
      <c r="C135" s="3" t="s">
        <v>58</v>
      </c>
      <c r="D135" s="3" t="s">
        <v>335</v>
      </c>
      <c r="E135" s="3" t="s">
        <v>143</v>
      </c>
      <c r="F135" s="3" t="s">
        <v>420</v>
      </c>
      <c r="G135" s="3" t="s">
        <v>139</v>
      </c>
      <c r="H135" s="3">
        <v>59</v>
      </c>
      <c r="I135" s="3">
        <v>63</v>
      </c>
      <c r="J135" s="3">
        <v>1</v>
      </c>
      <c r="K135" s="3">
        <v>74</v>
      </c>
      <c r="L135" s="3">
        <v>83</v>
      </c>
      <c r="M135" s="3">
        <v>89.2</v>
      </c>
      <c r="N135" s="4">
        <v>0.59499999999999997</v>
      </c>
      <c r="O135" s="3">
        <v>44</v>
      </c>
      <c r="P135" s="3">
        <v>30</v>
      </c>
      <c r="Q135" s="4">
        <v>0.23</v>
      </c>
      <c r="R135" s="4">
        <v>0.152</v>
      </c>
      <c r="S135" s="4">
        <v>0.20799999999999999</v>
      </c>
      <c r="T135" s="3">
        <v>90</v>
      </c>
      <c r="U135" s="3">
        <v>61</v>
      </c>
      <c r="V135" s="3">
        <v>80</v>
      </c>
      <c r="W135" s="3">
        <v>79.2</v>
      </c>
      <c r="X135" s="3" t="s">
        <v>32</v>
      </c>
      <c r="Y135" s="3" t="s">
        <v>33</v>
      </c>
      <c r="Z135" s="3">
        <v>100</v>
      </c>
      <c r="AA135" s="3">
        <v>1.5</v>
      </c>
      <c r="AB135" s="3">
        <v>5</v>
      </c>
      <c r="AC135" s="3">
        <v>0</v>
      </c>
      <c r="AD135" s="3">
        <v>1</v>
      </c>
      <c r="AE135" s="3">
        <f t="shared" si="4"/>
        <v>86.7</v>
      </c>
      <c r="AF135" s="3">
        <v>86.7</v>
      </c>
    </row>
    <row r="136" spans="1:33" x14ac:dyDescent="0.25">
      <c r="A136">
        <v>299</v>
      </c>
      <c r="B136" s="3" t="e" cm="1" vm="1">
        <f t="array" aca="1" ref="B136" ca="1">INDEX(Teams!$A$1:$N$1,1,SUMPRODUCT((Teams!$A$2:$N$13=C136&amp;" "&amp;D136)*COLUMN(A:N)))</f>
        <v>#VALUE!</v>
      </c>
      <c r="C136" t="s">
        <v>336</v>
      </c>
      <c r="D136" t="s">
        <v>337</v>
      </c>
      <c r="E136" t="s">
        <v>192</v>
      </c>
      <c r="F136" t="s">
        <v>136</v>
      </c>
      <c r="G136" t="s">
        <v>688</v>
      </c>
      <c r="H136">
        <v>70</v>
      </c>
      <c r="I136">
        <v>0</v>
      </c>
      <c r="J136">
        <v>0</v>
      </c>
      <c r="K136">
        <v>179</v>
      </c>
      <c r="L136">
        <v>235</v>
      </c>
      <c r="M136">
        <v>76.2</v>
      </c>
      <c r="N136" s="2">
        <v>0.48599999999999999</v>
      </c>
      <c r="O136">
        <v>87</v>
      </c>
      <c r="P136">
        <v>92</v>
      </c>
      <c r="Q136" s="2">
        <v>0</v>
      </c>
      <c r="S136" s="2">
        <v>0.249</v>
      </c>
      <c r="T136">
        <v>0</v>
      </c>
      <c r="V136">
        <v>96</v>
      </c>
      <c r="W136">
        <v>86.4</v>
      </c>
      <c r="X136" t="s">
        <v>338</v>
      </c>
      <c r="Y136" t="s">
        <v>33</v>
      </c>
      <c r="Z136">
        <v>97.5</v>
      </c>
      <c r="AA136">
        <v>0</v>
      </c>
      <c r="AB136">
        <v>0</v>
      </c>
      <c r="AC136">
        <v>0</v>
      </c>
      <c r="AD136">
        <v>0</v>
      </c>
      <c r="AE136">
        <f t="shared" si="4"/>
        <v>86.4</v>
      </c>
      <c r="AF136">
        <v>86.4</v>
      </c>
      <c r="AG136" t="s">
        <v>173</v>
      </c>
    </row>
    <row r="137" spans="1:33" s="3" customFormat="1" x14ac:dyDescent="0.25">
      <c r="A137" s="3">
        <v>594</v>
      </c>
      <c r="B137" s="3" t="str" cm="1">
        <f t="array" ref="B137">INDEX(Teams!$A$1:$N$1,1,SUMPRODUCT((Teams!$A$2:$N$13=C137&amp;" "&amp;D137)*COLUMN(A:N)))</f>
        <v>Team USA</v>
      </c>
      <c r="C137" s="3" t="s">
        <v>339</v>
      </c>
      <c r="D137" s="3" t="s">
        <v>340</v>
      </c>
      <c r="E137" s="3" t="s">
        <v>136</v>
      </c>
      <c r="F137" s="3" t="s">
        <v>136</v>
      </c>
      <c r="G137" s="3" t="s">
        <v>477</v>
      </c>
      <c r="H137" s="3">
        <v>60</v>
      </c>
      <c r="I137" s="3">
        <v>0</v>
      </c>
      <c r="J137" s="3">
        <v>0</v>
      </c>
      <c r="K137" s="3">
        <v>15</v>
      </c>
      <c r="L137" s="3">
        <v>22</v>
      </c>
      <c r="M137" s="3">
        <v>68.2</v>
      </c>
      <c r="N137" s="4">
        <v>0.33300000000000002</v>
      </c>
      <c r="O137" s="3">
        <v>5</v>
      </c>
      <c r="P137" s="3">
        <v>10</v>
      </c>
      <c r="Q137" s="4">
        <v>0</v>
      </c>
      <c r="S137" s="4">
        <v>0.216</v>
      </c>
      <c r="T137" s="3">
        <v>0</v>
      </c>
      <c r="V137" s="3">
        <v>83</v>
      </c>
      <c r="W137" s="3">
        <v>83.4</v>
      </c>
      <c r="X137" s="3" t="s">
        <v>102</v>
      </c>
      <c r="Y137" s="3" t="s">
        <v>86</v>
      </c>
      <c r="Z137" s="3">
        <v>69.099999999999994</v>
      </c>
      <c r="AA137" s="3">
        <v>2</v>
      </c>
      <c r="AB137" s="3">
        <v>3</v>
      </c>
      <c r="AC137" s="3">
        <v>0</v>
      </c>
      <c r="AD137" s="3">
        <v>-2</v>
      </c>
      <c r="AE137" s="3">
        <f t="shared" si="4"/>
        <v>86.4</v>
      </c>
      <c r="AF137" s="3">
        <v>86.4</v>
      </c>
      <c r="AG137" s="3" t="s">
        <v>341</v>
      </c>
    </row>
    <row r="138" spans="1:33" s="3" customFormat="1" x14ac:dyDescent="0.25">
      <c r="A138" s="3">
        <v>541</v>
      </c>
      <c r="B138" s="3" t="str" cm="1">
        <f t="array" ref="B138">INDEX(Teams!$A$1:$N$1,1,SUMPRODUCT((Teams!$A$2:$N$13=C138&amp;" "&amp;D138)*COLUMN(A:N)))</f>
        <v>Bad News Bears</v>
      </c>
      <c r="C138" s="3" t="s">
        <v>342</v>
      </c>
      <c r="D138" s="3" t="s">
        <v>274</v>
      </c>
      <c r="E138" s="3" t="s">
        <v>47</v>
      </c>
      <c r="F138" s="3" t="s">
        <v>420</v>
      </c>
      <c r="G138" s="3" t="s">
        <v>92</v>
      </c>
      <c r="H138" s="3">
        <v>64</v>
      </c>
      <c r="I138" s="3">
        <v>61</v>
      </c>
      <c r="J138" s="3">
        <v>0</v>
      </c>
      <c r="K138" s="3">
        <v>112</v>
      </c>
      <c r="L138" s="3">
        <v>128</v>
      </c>
      <c r="M138" s="3">
        <v>87.5</v>
      </c>
      <c r="N138" s="4">
        <v>0.55400000000000005</v>
      </c>
      <c r="O138" s="3">
        <v>62</v>
      </c>
      <c r="P138" s="3">
        <v>50</v>
      </c>
      <c r="Q138" s="4">
        <v>0.18099999999999999</v>
      </c>
      <c r="R138" s="4">
        <v>0.214</v>
      </c>
      <c r="S138" s="4">
        <v>0.22500000000000001</v>
      </c>
      <c r="T138" s="3">
        <v>71</v>
      </c>
      <c r="U138" s="3">
        <v>85</v>
      </c>
      <c r="V138" s="3">
        <v>87</v>
      </c>
      <c r="W138" s="3">
        <v>78.5</v>
      </c>
      <c r="X138" s="3" t="s">
        <v>32</v>
      </c>
      <c r="Y138" s="3" t="s">
        <v>33</v>
      </c>
      <c r="Z138" s="3">
        <v>100</v>
      </c>
      <c r="AA138" s="3">
        <v>2.5</v>
      </c>
      <c r="AB138" s="3">
        <v>3</v>
      </c>
      <c r="AC138" s="3">
        <v>0</v>
      </c>
      <c r="AD138" s="3">
        <v>1</v>
      </c>
      <c r="AE138" s="3">
        <f t="shared" si="4"/>
        <v>85</v>
      </c>
      <c r="AF138" s="3">
        <v>85</v>
      </c>
    </row>
    <row r="139" spans="1:33" s="3" customFormat="1" x14ac:dyDescent="0.25">
      <c r="A139" s="3">
        <v>245</v>
      </c>
      <c r="B139" s="3" t="str" cm="1">
        <f t="array" ref="B139">INDEX(Teams!$A$1:$N$1,1,SUMPRODUCT((Teams!$A$2:$N$13=C139&amp;" "&amp;D139)*COLUMN(A:N)))</f>
        <v xml:space="preserve">  Wolverines</v>
      </c>
      <c r="C139" s="3" t="s">
        <v>183</v>
      </c>
      <c r="D139" s="3" t="s">
        <v>353</v>
      </c>
      <c r="E139" s="3" t="s">
        <v>136</v>
      </c>
      <c r="F139" s="3" t="s">
        <v>688</v>
      </c>
      <c r="G139" s="3" t="s">
        <v>737</v>
      </c>
      <c r="H139" s="3">
        <v>64</v>
      </c>
      <c r="I139" s="3">
        <v>59</v>
      </c>
      <c r="J139" s="3">
        <v>0</v>
      </c>
      <c r="K139" s="3">
        <v>280</v>
      </c>
      <c r="L139" s="3">
        <v>382</v>
      </c>
      <c r="M139" s="3">
        <v>73.3</v>
      </c>
      <c r="N139" s="4">
        <v>0.496</v>
      </c>
      <c r="O139" s="3">
        <v>188</v>
      </c>
      <c r="P139" s="3">
        <v>191</v>
      </c>
      <c r="Q139" s="4">
        <v>0.2</v>
      </c>
      <c r="S139" s="4">
        <v>0.20799999999999999</v>
      </c>
      <c r="T139" s="3">
        <v>78</v>
      </c>
      <c r="V139" s="3">
        <v>80</v>
      </c>
      <c r="W139" s="3">
        <v>78.7</v>
      </c>
      <c r="X139" s="3" t="s">
        <v>56</v>
      </c>
      <c r="Y139" s="3" t="s">
        <v>33</v>
      </c>
      <c r="Z139" s="3">
        <v>100</v>
      </c>
      <c r="AA139" s="3">
        <v>2</v>
      </c>
      <c r="AB139" s="3">
        <v>3</v>
      </c>
      <c r="AC139" s="3">
        <v>1</v>
      </c>
      <c r="AD139" s="3">
        <v>0</v>
      </c>
      <c r="AE139" s="3">
        <f t="shared" si="4"/>
        <v>84.7</v>
      </c>
      <c r="AF139" s="3">
        <v>83.7</v>
      </c>
      <c r="AG139" s="3" t="s">
        <v>354</v>
      </c>
    </row>
    <row r="140" spans="1:33" s="3" customFormat="1" x14ac:dyDescent="0.25">
      <c r="A140" s="3">
        <v>70</v>
      </c>
      <c r="B140" s="3" t="str" cm="1">
        <f t="array" ref="B140">INDEX(Teams!$A$1:$N$1,1,SUMPRODUCT((Teams!$A$2:$N$13=C140&amp;" "&amp;D140)*COLUMN(A:N)))</f>
        <v xml:space="preserve">Rebels  </v>
      </c>
      <c r="C140" s="3" t="s">
        <v>218</v>
      </c>
      <c r="D140" s="3" t="s">
        <v>343</v>
      </c>
      <c r="E140" s="3" t="s">
        <v>42</v>
      </c>
      <c r="F140" s="3" t="s">
        <v>42</v>
      </c>
      <c r="G140" s="3" t="s">
        <v>42</v>
      </c>
      <c r="H140" s="3">
        <v>76</v>
      </c>
      <c r="I140" s="3">
        <v>70</v>
      </c>
      <c r="J140" s="3">
        <v>0</v>
      </c>
      <c r="K140" s="3">
        <v>347</v>
      </c>
      <c r="L140" s="3">
        <v>361</v>
      </c>
      <c r="M140" s="3">
        <v>96.1</v>
      </c>
      <c r="N140" s="4">
        <v>0.54600000000000004</v>
      </c>
      <c r="O140" s="3">
        <v>413</v>
      </c>
      <c r="P140" s="3">
        <v>344</v>
      </c>
      <c r="Q140" s="4">
        <v>0.19600000000000001</v>
      </c>
      <c r="S140" s="4">
        <v>0.224</v>
      </c>
      <c r="T140" s="3">
        <v>77</v>
      </c>
      <c r="V140" s="3">
        <v>87</v>
      </c>
      <c r="W140" s="3">
        <v>83.3</v>
      </c>
      <c r="X140" s="3" t="s">
        <v>56</v>
      </c>
      <c r="Y140" s="3" t="s">
        <v>33</v>
      </c>
      <c r="Z140" s="3">
        <v>100</v>
      </c>
      <c r="AA140" s="3">
        <v>1</v>
      </c>
      <c r="AB140" s="3">
        <v>-2</v>
      </c>
      <c r="AC140" s="3">
        <v>0</v>
      </c>
      <c r="AD140" s="3">
        <v>2</v>
      </c>
      <c r="AE140" s="3">
        <f t="shared" si="4"/>
        <v>84.3</v>
      </c>
      <c r="AF140" s="3">
        <v>84.3</v>
      </c>
      <c r="AG140" s="3" t="s">
        <v>344</v>
      </c>
    </row>
    <row r="141" spans="1:33" s="3" customFormat="1" x14ac:dyDescent="0.25">
      <c r="A141" s="3">
        <v>23</v>
      </c>
      <c r="B141" s="3" t="str" cm="1">
        <f t="array" ref="B141">INDEX(Teams!$A$1:$N$1,1,SUMPRODUCT((Teams!$A$2:$N$13=C141&amp;" "&amp;D141)*COLUMN(A:N)))</f>
        <v xml:space="preserve">Rebels  </v>
      </c>
      <c r="C141" s="3" t="s">
        <v>54</v>
      </c>
      <c r="D141" s="3" t="s">
        <v>355</v>
      </c>
      <c r="E141" s="3" t="s">
        <v>192</v>
      </c>
      <c r="F141" s="3" t="s">
        <v>568</v>
      </c>
      <c r="G141" s="3" t="s">
        <v>136</v>
      </c>
      <c r="H141" s="3">
        <v>80</v>
      </c>
      <c r="I141" s="3">
        <v>0</v>
      </c>
      <c r="J141" s="3">
        <v>0</v>
      </c>
      <c r="K141" s="3">
        <v>293</v>
      </c>
      <c r="L141" s="3">
        <v>400</v>
      </c>
      <c r="M141" s="3">
        <v>73.2</v>
      </c>
      <c r="N141" s="4">
        <v>0.52900000000000003</v>
      </c>
      <c r="O141" s="3">
        <v>226</v>
      </c>
      <c r="P141" s="3">
        <v>201</v>
      </c>
      <c r="Q141" s="4">
        <v>0</v>
      </c>
      <c r="S141" s="4">
        <v>0.20499999999999999</v>
      </c>
      <c r="T141" s="3">
        <v>0</v>
      </c>
      <c r="V141" s="3">
        <v>79</v>
      </c>
      <c r="W141" s="3">
        <v>87.3</v>
      </c>
      <c r="X141" s="3" t="s">
        <v>106</v>
      </c>
      <c r="Y141" s="3" t="s">
        <v>33</v>
      </c>
      <c r="Z141" s="3">
        <v>100</v>
      </c>
      <c r="AA141" s="3">
        <v>0</v>
      </c>
      <c r="AB141" s="3">
        <v>-4</v>
      </c>
      <c r="AC141" s="3">
        <v>1</v>
      </c>
      <c r="AD141" s="3">
        <v>0</v>
      </c>
      <c r="AE141" s="3">
        <f t="shared" si="4"/>
        <v>84.3</v>
      </c>
      <c r="AF141" s="3">
        <v>83.3</v>
      </c>
      <c r="AG141" s="3" t="s">
        <v>356</v>
      </c>
    </row>
    <row r="142" spans="1:33" s="3" customFormat="1" x14ac:dyDescent="0.25">
      <c r="A142" s="3">
        <v>508</v>
      </c>
      <c r="B142" s="3" t="str" cm="1">
        <f t="array" ref="B142">INDEX(Teams!$A$1:$N$1,1,SUMPRODUCT((Teams!$A$2:$N$13=C142&amp;" "&amp;D142)*COLUMN(A:N)))</f>
        <v xml:space="preserve">  Norsemen</v>
      </c>
      <c r="C142" s="3" t="s">
        <v>345</v>
      </c>
      <c r="D142" s="3" t="s">
        <v>346</v>
      </c>
      <c r="E142" s="3" t="s">
        <v>139</v>
      </c>
      <c r="F142" s="3" t="s">
        <v>139</v>
      </c>
      <c r="G142" s="3" t="s">
        <v>136</v>
      </c>
      <c r="H142" s="3">
        <v>67</v>
      </c>
      <c r="I142" s="3">
        <v>0</v>
      </c>
      <c r="J142" s="3">
        <v>0</v>
      </c>
      <c r="K142" s="3">
        <v>61</v>
      </c>
      <c r="L142" s="3">
        <v>66</v>
      </c>
      <c r="M142" s="3">
        <v>92.4</v>
      </c>
      <c r="N142" s="4">
        <v>0.47499999999999998</v>
      </c>
      <c r="O142" s="3">
        <v>29</v>
      </c>
      <c r="P142" s="3">
        <v>32</v>
      </c>
      <c r="Q142" s="4">
        <v>0</v>
      </c>
      <c r="S142" s="4">
        <v>0.191</v>
      </c>
      <c r="T142" s="3">
        <v>0</v>
      </c>
      <c r="V142" s="3">
        <v>74</v>
      </c>
      <c r="W142" s="3">
        <v>80.599999999999994</v>
      </c>
      <c r="X142" s="3" t="s">
        <v>43</v>
      </c>
      <c r="Y142" s="3" t="s">
        <v>33</v>
      </c>
      <c r="Z142" s="3">
        <v>100</v>
      </c>
      <c r="AA142" s="3">
        <v>0.5</v>
      </c>
      <c r="AB142" s="3">
        <v>1</v>
      </c>
      <c r="AC142" s="3">
        <v>0</v>
      </c>
      <c r="AD142" s="3">
        <v>2</v>
      </c>
      <c r="AE142" s="3">
        <f t="shared" si="4"/>
        <v>84.1</v>
      </c>
      <c r="AF142" s="3">
        <v>84.1</v>
      </c>
    </row>
    <row r="143" spans="1:33" s="3" customFormat="1" x14ac:dyDescent="0.25">
      <c r="A143" s="3">
        <v>427</v>
      </c>
      <c r="B143" s="3" t="str" cm="1">
        <f t="array" ref="B143">INDEX(Teams!$A$1:$N$1,1,SUMPRODUCT((Teams!$A$2:$N$13=C143&amp;" "&amp;D143)*COLUMN(A:N)))</f>
        <v xml:space="preserve">  Buckeyes</v>
      </c>
      <c r="C143" s="3" t="s">
        <v>104</v>
      </c>
      <c r="D143" s="3" t="s">
        <v>347</v>
      </c>
      <c r="E143" s="3" t="s">
        <v>136</v>
      </c>
      <c r="F143" s="3" t="s">
        <v>42</v>
      </c>
      <c r="G143" s="3" t="s">
        <v>92</v>
      </c>
      <c r="H143" s="3">
        <v>69</v>
      </c>
      <c r="I143" s="3">
        <v>78</v>
      </c>
      <c r="J143" s="3">
        <v>0</v>
      </c>
      <c r="K143" s="3">
        <v>273</v>
      </c>
      <c r="L143" s="3">
        <v>284</v>
      </c>
      <c r="M143" s="3">
        <v>96.1</v>
      </c>
      <c r="N143" s="4">
        <v>0.44700000000000001</v>
      </c>
      <c r="O143" s="3">
        <v>122</v>
      </c>
      <c r="P143" s="3">
        <v>151</v>
      </c>
      <c r="Q143" s="4">
        <v>0.2</v>
      </c>
      <c r="R143" s="4">
        <v>0.183</v>
      </c>
      <c r="S143" s="4">
        <v>0.23200000000000001</v>
      </c>
      <c r="T143" s="3">
        <v>78</v>
      </c>
      <c r="U143" s="3">
        <v>73</v>
      </c>
      <c r="V143" s="3">
        <v>90</v>
      </c>
      <c r="W143" s="3">
        <v>78.900000000000006</v>
      </c>
      <c r="X143" s="3" t="s">
        <v>32</v>
      </c>
      <c r="Y143" s="3" t="s">
        <v>33</v>
      </c>
      <c r="Z143" s="3">
        <v>100</v>
      </c>
      <c r="AA143" s="3">
        <v>2</v>
      </c>
      <c r="AB143" s="3">
        <v>1</v>
      </c>
      <c r="AC143" s="3">
        <v>0</v>
      </c>
      <c r="AD143" s="3">
        <v>2</v>
      </c>
      <c r="AE143" s="3">
        <f t="shared" si="4"/>
        <v>83.9</v>
      </c>
      <c r="AF143" s="3">
        <v>83.9</v>
      </c>
      <c r="AG143" s="3" t="s">
        <v>348</v>
      </c>
    </row>
    <row r="144" spans="1:33" s="3" customFormat="1" x14ac:dyDescent="0.25">
      <c r="A144" s="3">
        <v>420</v>
      </c>
      <c r="B144" s="3" t="str" cm="1">
        <f t="array" ref="B144">INDEX(Teams!$A$1:$N$1,1,SUMPRODUCT((Teams!$A$2:$N$13=C144&amp;" "&amp;D144)*COLUMN(A:N)))</f>
        <v xml:space="preserve">  Wolverines</v>
      </c>
      <c r="C144" s="3" t="s">
        <v>282</v>
      </c>
      <c r="D144" s="3" t="s">
        <v>349</v>
      </c>
      <c r="E144" s="3" t="s">
        <v>139</v>
      </c>
      <c r="F144" s="3" t="s">
        <v>92</v>
      </c>
      <c r="G144" s="3" t="s">
        <v>139</v>
      </c>
      <c r="H144" s="3">
        <v>67</v>
      </c>
      <c r="I144" s="3">
        <v>79</v>
      </c>
      <c r="J144" s="3">
        <v>0</v>
      </c>
      <c r="K144" s="3">
        <v>292</v>
      </c>
      <c r="L144" s="3">
        <v>308</v>
      </c>
      <c r="M144" s="3">
        <v>94.8</v>
      </c>
      <c r="N144" s="4">
        <v>0.53100000000000003</v>
      </c>
      <c r="O144" s="3">
        <v>155</v>
      </c>
      <c r="P144" s="3">
        <v>137</v>
      </c>
      <c r="Q144" s="4">
        <v>0.20200000000000001</v>
      </c>
      <c r="R144" s="4">
        <v>0.2</v>
      </c>
      <c r="S144" s="4">
        <v>0.22</v>
      </c>
      <c r="T144" s="3">
        <v>79</v>
      </c>
      <c r="U144" s="3">
        <v>80</v>
      </c>
      <c r="V144" s="3">
        <v>85</v>
      </c>
      <c r="W144" s="3">
        <v>80.400000000000006</v>
      </c>
      <c r="X144" s="3" t="s">
        <v>32</v>
      </c>
      <c r="Y144" s="3" t="s">
        <v>33</v>
      </c>
      <c r="Z144" s="3">
        <v>100</v>
      </c>
      <c r="AA144" s="3">
        <v>0.5</v>
      </c>
      <c r="AB144" s="3">
        <v>1</v>
      </c>
      <c r="AC144" s="3">
        <v>0</v>
      </c>
      <c r="AD144" s="3">
        <v>2</v>
      </c>
      <c r="AE144" s="3">
        <f t="shared" si="4"/>
        <v>83.9</v>
      </c>
      <c r="AF144" s="3">
        <v>83.9</v>
      </c>
      <c r="AG144" s="3" t="s">
        <v>350</v>
      </c>
    </row>
    <row r="145" spans="1:33" s="3" customFormat="1" x14ac:dyDescent="0.25">
      <c r="A145" s="3">
        <v>271</v>
      </c>
      <c r="B145" s="3" t="str" cm="1">
        <f t="array" ref="B145">INDEX(Teams!$A$1:$N$1,1,SUMPRODUCT((Teams!$A$2:$N$13=C145&amp;" "&amp;D145)*COLUMN(A:N)))</f>
        <v>Lightning Strikes</v>
      </c>
      <c r="C145" s="3" t="s">
        <v>351</v>
      </c>
      <c r="D145" s="3" t="s">
        <v>352</v>
      </c>
      <c r="E145" s="3" t="s">
        <v>192</v>
      </c>
      <c r="F145" s="3" t="s">
        <v>539</v>
      </c>
      <c r="G145" s="3" t="s">
        <v>420</v>
      </c>
      <c r="H145" s="3">
        <v>68</v>
      </c>
      <c r="I145" s="3">
        <v>77</v>
      </c>
      <c r="J145" s="3">
        <v>0</v>
      </c>
      <c r="K145" s="3">
        <v>355</v>
      </c>
      <c r="L145" s="3">
        <v>384</v>
      </c>
      <c r="M145" s="3">
        <v>92.4</v>
      </c>
      <c r="N145" s="4">
        <v>0.53300000000000003</v>
      </c>
      <c r="O145" s="3">
        <v>255</v>
      </c>
      <c r="P145" s="3">
        <v>223</v>
      </c>
      <c r="Q145" s="4">
        <v>0.17799999999999999</v>
      </c>
      <c r="R145" s="4">
        <v>0.22700000000000001</v>
      </c>
      <c r="S145" s="4">
        <v>0.245</v>
      </c>
      <c r="T145" s="3">
        <v>70</v>
      </c>
      <c r="U145" s="3">
        <v>90</v>
      </c>
      <c r="V145" s="3">
        <v>95</v>
      </c>
      <c r="W145" s="3">
        <v>80.8</v>
      </c>
      <c r="X145" s="3" t="s">
        <v>32</v>
      </c>
      <c r="Y145" s="3" t="s">
        <v>33</v>
      </c>
      <c r="Z145" s="3">
        <v>100</v>
      </c>
      <c r="AA145" s="3">
        <v>0</v>
      </c>
      <c r="AB145" s="3">
        <v>1</v>
      </c>
      <c r="AC145" s="3">
        <v>0</v>
      </c>
      <c r="AD145" s="3">
        <v>2</v>
      </c>
      <c r="AE145" s="3">
        <f t="shared" si="4"/>
        <v>83.8</v>
      </c>
      <c r="AF145" s="3">
        <v>83.8</v>
      </c>
      <c r="AG145" s="3" t="s">
        <v>151</v>
      </c>
    </row>
    <row r="146" spans="1:33" s="3" customFormat="1" x14ac:dyDescent="0.25">
      <c r="A146" s="3">
        <v>133</v>
      </c>
      <c r="B146" s="3" t="str" cm="1">
        <f t="array" ref="B146">INDEX(Teams!$A$1:$N$1,1,SUMPRODUCT((Teams!$A$2:$N$13=C146&amp;" "&amp;D146)*COLUMN(A:N)))</f>
        <v>Big Dawgs</v>
      </c>
      <c r="C146" s="3" t="s">
        <v>357</v>
      </c>
      <c r="D146" s="3" t="s">
        <v>358</v>
      </c>
      <c r="E146" s="3" t="s">
        <v>92</v>
      </c>
      <c r="F146" s="3" t="s">
        <v>454</v>
      </c>
      <c r="G146" s="3" t="s">
        <v>31</v>
      </c>
      <c r="H146" s="3">
        <v>69</v>
      </c>
      <c r="I146" s="3">
        <v>64</v>
      </c>
      <c r="J146" s="3">
        <v>0</v>
      </c>
      <c r="K146" s="3">
        <v>288</v>
      </c>
      <c r="L146" s="3">
        <v>350</v>
      </c>
      <c r="M146" s="3">
        <v>82.3</v>
      </c>
      <c r="N146" s="4">
        <v>0.53100000000000003</v>
      </c>
      <c r="O146" s="3">
        <v>329</v>
      </c>
      <c r="P146" s="3">
        <v>291</v>
      </c>
      <c r="Q146" s="4">
        <v>0.193</v>
      </c>
      <c r="R146" s="4">
        <v>0.18</v>
      </c>
      <c r="S146" s="4">
        <v>0.255</v>
      </c>
      <c r="T146" s="3">
        <v>75</v>
      </c>
      <c r="U146" s="3">
        <v>72</v>
      </c>
      <c r="V146" s="3">
        <v>99</v>
      </c>
      <c r="W146" s="3">
        <v>79</v>
      </c>
      <c r="X146" s="3" t="s">
        <v>32</v>
      </c>
      <c r="Y146" s="3" t="s">
        <v>33</v>
      </c>
      <c r="Z146" s="3">
        <v>100</v>
      </c>
      <c r="AA146" s="3">
        <v>1.5</v>
      </c>
      <c r="AB146" s="3">
        <v>1</v>
      </c>
      <c r="AC146" s="3">
        <v>1</v>
      </c>
      <c r="AD146" s="3">
        <v>1</v>
      </c>
      <c r="AE146" s="3">
        <f t="shared" si="4"/>
        <v>83.5</v>
      </c>
      <c r="AF146" s="3">
        <v>82.5</v>
      </c>
      <c r="AG146" s="3" t="s">
        <v>359</v>
      </c>
    </row>
    <row r="147" spans="1:33" s="3" customFormat="1" x14ac:dyDescent="0.25">
      <c r="A147" s="3">
        <v>277</v>
      </c>
      <c r="B147" s="3" t="str" cm="1">
        <f t="array" ref="B147">INDEX(Teams!$A$1:$N$1,1,SUMPRODUCT((Teams!$A$2:$N$13=C147&amp;" "&amp;D147)*COLUMN(A:N)))</f>
        <v xml:space="preserve">Tigers   </v>
      </c>
      <c r="C147" s="3" t="s">
        <v>218</v>
      </c>
      <c r="D147" s="3" t="s">
        <v>360</v>
      </c>
      <c r="E147" s="3" t="s">
        <v>143</v>
      </c>
      <c r="F147" s="3" t="s">
        <v>441</v>
      </c>
      <c r="G147" s="3" t="s">
        <v>441</v>
      </c>
      <c r="H147" s="3">
        <v>68</v>
      </c>
      <c r="I147" s="3">
        <v>71</v>
      </c>
      <c r="J147" s="3">
        <v>0</v>
      </c>
      <c r="K147" s="3">
        <v>374</v>
      </c>
      <c r="L147" s="3">
        <v>397</v>
      </c>
      <c r="M147" s="3">
        <v>94.2</v>
      </c>
      <c r="N147" s="4">
        <v>0.46100000000000002</v>
      </c>
      <c r="O147" s="3">
        <v>191</v>
      </c>
      <c r="P147" s="3">
        <v>223</v>
      </c>
      <c r="Q147" s="4">
        <v>0.186</v>
      </c>
      <c r="S147" s="4">
        <v>0.221</v>
      </c>
      <c r="T147" s="3">
        <v>73</v>
      </c>
      <c r="V147" s="3">
        <v>85</v>
      </c>
      <c r="W147" s="3">
        <v>77.5</v>
      </c>
      <c r="X147" s="3" t="s">
        <v>56</v>
      </c>
      <c r="Y147" s="3" t="s">
        <v>33</v>
      </c>
      <c r="Z147" s="3">
        <v>100</v>
      </c>
      <c r="AA147" s="3">
        <v>1.5</v>
      </c>
      <c r="AB147" s="3">
        <v>1</v>
      </c>
      <c r="AC147" s="3">
        <v>1</v>
      </c>
      <c r="AD147" s="3">
        <v>2</v>
      </c>
      <c r="AE147" s="3">
        <f t="shared" si="4"/>
        <v>83</v>
      </c>
      <c r="AF147" s="3">
        <v>82</v>
      </c>
    </row>
    <row r="148" spans="1:33" s="3" customFormat="1" x14ac:dyDescent="0.25">
      <c r="A148" s="3">
        <v>423</v>
      </c>
      <c r="B148" s="3" t="str" cm="1">
        <f t="array" ref="B148">INDEX(Teams!$A$1:$N$1,1,SUMPRODUCT((Teams!$A$2:$N$13=C148&amp;" "&amp;D148)*COLUMN(A:N)))</f>
        <v xml:space="preserve">Gunslingers  </v>
      </c>
      <c r="C148" s="3" t="s">
        <v>187</v>
      </c>
      <c r="D148" s="3" t="s">
        <v>361</v>
      </c>
      <c r="E148" s="3" t="s">
        <v>192</v>
      </c>
      <c r="F148" s="3" t="s">
        <v>139</v>
      </c>
      <c r="G148" s="3" t="s">
        <v>568</v>
      </c>
      <c r="H148" s="3">
        <v>61</v>
      </c>
      <c r="I148" s="3">
        <v>71</v>
      </c>
      <c r="J148" s="3">
        <v>0</v>
      </c>
      <c r="K148" s="3">
        <v>279</v>
      </c>
      <c r="L148" s="3">
        <v>306</v>
      </c>
      <c r="M148" s="3">
        <v>91.2</v>
      </c>
      <c r="N148" s="4">
        <v>0.44400000000000001</v>
      </c>
      <c r="O148" s="3">
        <v>124</v>
      </c>
      <c r="P148" s="3">
        <v>155</v>
      </c>
      <c r="Q148" s="4">
        <v>0.17899999999999999</v>
      </c>
      <c r="R148" s="4">
        <v>0.216</v>
      </c>
      <c r="S148" s="4">
        <v>0.20300000000000001</v>
      </c>
      <c r="T148" s="3">
        <v>70</v>
      </c>
      <c r="U148" s="3">
        <v>86</v>
      </c>
      <c r="V148" s="3">
        <v>78</v>
      </c>
      <c r="W148" s="3">
        <v>76.5</v>
      </c>
      <c r="X148" s="3" t="s">
        <v>32</v>
      </c>
      <c r="Y148" s="3" t="s">
        <v>33</v>
      </c>
      <c r="Z148" s="3">
        <v>100</v>
      </c>
      <c r="AA148" s="3">
        <v>0</v>
      </c>
      <c r="AB148" s="3">
        <v>3</v>
      </c>
      <c r="AC148" s="3">
        <v>0</v>
      </c>
      <c r="AD148" s="3">
        <v>2</v>
      </c>
      <c r="AE148" s="3">
        <f t="shared" si="4"/>
        <v>81.5</v>
      </c>
      <c r="AF148" s="3">
        <v>81.5</v>
      </c>
    </row>
    <row r="149" spans="1:33" s="3" customFormat="1" x14ac:dyDescent="0.25">
      <c r="A149" s="3">
        <v>204</v>
      </c>
      <c r="B149" s="3" t="str" cm="1">
        <f t="array" ref="B149">INDEX(Teams!$A$1:$N$1,1,SUMPRODUCT((Teams!$A$2:$N$13=C149&amp;" "&amp;D149)*COLUMN(A:N)))</f>
        <v xml:space="preserve">Bearcats  </v>
      </c>
      <c r="C149" s="3" t="s">
        <v>362</v>
      </c>
      <c r="D149" s="3" t="s">
        <v>363</v>
      </c>
      <c r="E149" s="3" t="s">
        <v>192</v>
      </c>
      <c r="F149" s="3" t="s">
        <v>192</v>
      </c>
      <c r="G149" s="3" t="s">
        <v>420</v>
      </c>
      <c r="H149" s="3">
        <v>75</v>
      </c>
      <c r="I149" s="3">
        <v>19</v>
      </c>
      <c r="J149" s="3">
        <v>0</v>
      </c>
      <c r="K149" s="3">
        <v>299</v>
      </c>
      <c r="L149" s="3">
        <v>383</v>
      </c>
      <c r="M149" s="3">
        <v>78.099999999999994</v>
      </c>
      <c r="N149" s="4">
        <v>0.46500000000000002</v>
      </c>
      <c r="O149" s="3">
        <v>139</v>
      </c>
      <c r="P149" s="3">
        <v>160</v>
      </c>
      <c r="Q149" s="4">
        <v>0.216</v>
      </c>
      <c r="S149" s="4">
        <v>0.22500000000000001</v>
      </c>
      <c r="T149" s="3">
        <v>84</v>
      </c>
      <c r="V149" s="3">
        <v>87</v>
      </c>
      <c r="W149" s="3">
        <v>83</v>
      </c>
      <c r="X149" s="3" t="s">
        <v>111</v>
      </c>
      <c r="Y149" s="3" t="s">
        <v>33</v>
      </c>
      <c r="Z149" s="3">
        <v>100</v>
      </c>
      <c r="AA149" s="3">
        <v>0</v>
      </c>
      <c r="AB149" s="3">
        <v>-2</v>
      </c>
      <c r="AC149" s="3">
        <v>0</v>
      </c>
      <c r="AD149" s="3">
        <v>0</v>
      </c>
      <c r="AE149" s="3">
        <f t="shared" si="4"/>
        <v>81</v>
      </c>
      <c r="AF149" s="3">
        <v>81</v>
      </c>
      <c r="AG149" s="3" t="s">
        <v>364</v>
      </c>
    </row>
    <row r="150" spans="1:33" s="3" customFormat="1" x14ac:dyDescent="0.25">
      <c r="A150" s="3">
        <v>187</v>
      </c>
      <c r="B150" s="3" t="str" cm="1">
        <f t="array" ref="B150">INDEX(Teams!$A$1:$N$1,1,SUMPRODUCT((Teams!$A$2:$N$13=C150&amp;" "&amp;D150)*COLUMN(A:N)))</f>
        <v xml:space="preserve">Bearcats  </v>
      </c>
      <c r="C150" s="3" t="s">
        <v>369</v>
      </c>
      <c r="D150" s="3" t="s">
        <v>370</v>
      </c>
      <c r="E150" s="3" t="s">
        <v>42</v>
      </c>
      <c r="F150" s="3" t="s">
        <v>486</v>
      </c>
      <c r="G150" s="3" t="s">
        <v>487</v>
      </c>
      <c r="H150" s="3">
        <v>72</v>
      </c>
      <c r="I150" s="3">
        <v>78</v>
      </c>
      <c r="J150" s="3">
        <v>1</v>
      </c>
      <c r="K150" s="3">
        <v>301</v>
      </c>
      <c r="L150" s="3">
        <v>373</v>
      </c>
      <c r="M150" s="3">
        <v>80.7</v>
      </c>
      <c r="N150" s="4">
        <v>0.53400000000000003</v>
      </c>
      <c r="O150" s="3">
        <v>281</v>
      </c>
      <c r="P150" s="3">
        <v>245</v>
      </c>
      <c r="Q150" s="4">
        <v>0.19900000000000001</v>
      </c>
      <c r="R150" s="4">
        <v>0.16500000000000001</v>
      </c>
      <c r="S150" s="4">
        <v>0.23899999999999999</v>
      </c>
      <c r="T150" s="3">
        <v>78</v>
      </c>
      <c r="U150" s="3">
        <v>66</v>
      </c>
      <c r="V150" s="3">
        <v>92</v>
      </c>
      <c r="W150" s="3">
        <v>77.099999999999994</v>
      </c>
      <c r="X150" s="3" t="s">
        <v>32</v>
      </c>
      <c r="Y150" s="3" t="s">
        <v>33</v>
      </c>
      <c r="Z150" s="3">
        <v>100</v>
      </c>
      <c r="AA150" s="3">
        <v>1</v>
      </c>
      <c r="AB150" s="3">
        <v>0</v>
      </c>
      <c r="AC150" s="3">
        <v>1</v>
      </c>
      <c r="AD150" s="3">
        <v>1</v>
      </c>
      <c r="AE150" s="3">
        <f t="shared" si="4"/>
        <v>80.099999999999994</v>
      </c>
      <c r="AF150" s="3">
        <v>79.099999999999994</v>
      </c>
      <c r="AG150" s="3" t="s">
        <v>371</v>
      </c>
    </row>
    <row r="151" spans="1:33" x14ac:dyDescent="0.25">
      <c r="A151">
        <v>487</v>
      </c>
      <c r="B151" s="3" t="e" cm="1" vm="1">
        <f t="array" aca="1" ref="B151" ca="1">INDEX(Teams!$A$1:$N$1,1,SUMPRODUCT((Teams!$A$2:$N$13=C151&amp;" "&amp;D151)*COLUMN(A:N)))</f>
        <v>#VALUE!</v>
      </c>
      <c r="C151" t="s">
        <v>365</v>
      </c>
      <c r="D151" t="s">
        <v>366</v>
      </c>
      <c r="E151" t="s">
        <v>192</v>
      </c>
      <c r="F151" t="s">
        <v>139</v>
      </c>
      <c r="G151" t="s">
        <v>420</v>
      </c>
      <c r="H151">
        <v>69</v>
      </c>
      <c r="I151">
        <v>0</v>
      </c>
      <c r="J151">
        <v>0</v>
      </c>
      <c r="K151">
        <v>49</v>
      </c>
      <c r="L151">
        <v>66</v>
      </c>
      <c r="M151">
        <v>74.2</v>
      </c>
      <c r="N151" s="2">
        <v>0.49</v>
      </c>
      <c r="O151">
        <v>24</v>
      </c>
      <c r="P151">
        <v>25</v>
      </c>
      <c r="Q151" s="2">
        <v>0</v>
      </c>
      <c r="S151" s="2">
        <v>0.192</v>
      </c>
      <c r="T151">
        <v>0</v>
      </c>
      <c r="V151">
        <v>74</v>
      </c>
      <c r="W151">
        <v>79.900000000000006</v>
      </c>
      <c r="X151" t="s">
        <v>43</v>
      </c>
      <c r="Y151" t="s">
        <v>33</v>
      </c>
      <c r="Z151">
        <v>100</v>
      </c>
      <c r="AA151">
        <v>0</v>
      </c>
      <c r="AB151">
        <v>1</v>
      </c>
      <c r="AC151">
        <v>-3</v>
      </c>
      <c r="AD151">
        <v>0</v>
      </c>
      <c r="AE151">
        <f t="shared" si="4"/>
        <v>77.900000000000006</v>
      </c>
      <c r="AF151">
        <v>80.900000000000006</v>
      </c>
      <c r="AG151" t="s">
        <v>173</v>
      </c>
    </row>
    <row r="152" spans="1:33" x14ac:dyDescent="0.25">
      <c r="A152">
        <v>376</v>
      </c>
      <c r="B152" s="3" t="e" cm="1" vm="1">
        <f t="array" aca="1" ref="B152" ca="1">INDEX(Teams!$A$1:$N$1,1,SUMPRODUCT((Teams!$A$2:$N$13=C152&amp;" "&amp;D152)*COLUMN(A:N)))</f>
        <v>#VALUE!</v>
      </c>
      <c r="C152" t="s">
        <v>367</v>
      </c>
      <c r="D152" t="s">
        <v>368</v>
      </c>
      <c r="E152" t="s">
        <v>192</v>
      </c>
      <c r="F152" t="s">
        <v>139</v>
      </c>
      <c r="G152" t="s">
        <v>192</v>
      </c>
      <c r="H152">
        <v>67</v>
      </c>
      <c r="I152">
        <v>0</v>
      </c>
      <c r="J152">
        <v>0</v>
      </c>
      <c r="K152">
        <v>201</v>
      </c>
      <c r="L152">
        <v>255</v>
      </c>
      <c r="M152">
        <v>78.8</v>
      </c>
      <c r="N152" s="2">
        <v>0.46800000000000003</v>
      </c>
      <c r="O152">
        <v>94</v>
      </c>
      <c r="P152">
        <v>107</v>
      </c>
      <c r="Q152" s="2">
        <v>0</v>
      </c>
      <c r="R152" s="2">
        <v>0.189</v>
      </c>
      <c r="S152" s="2">
        <v>0.19700000000000001</v>
      </c>
      <c r="T152">
        <v>0</v>
      </c>
      <c r="U152">
        <v>75</v>
      </c>
      <c r="V152">
        <v>76</v>
      </c>
      <c r="W152">
        <v>79.599999999999994</v>
      </c>
      <c r="X152" t="s">
        <v>288</v>
      </c>
      <c r="Y152" t="s">
        <v>49</v>
      </c>
      <c r="Z152">
        <v>84.5</v>
      </c>
      <c r="AA152">
        <v>0</v>
      </c>
      <c r="AB152">
        <v>1</v>
      </c>
      <c r="AC152">
        <v>-3</v>
      </c>
      <c r="AD152">
        <v>0</v>
      </c>
      <c r="AE152">
        <f t="shared" si="4"/>
        <v>77.599999999999994</v>
      </c>
      <c r="AF152">
        <v>80.599999999999994</v>
      </c>
    </row>
    <row r="153" spans="1:33" x14ac:dyDescent="0.25">
      <c r="A153" s="5">
        <v>131</v>
      </c>
      <c r="B153" s="3" t="str" cm="1">
        <f t="array" ref="B153">INDEX(Teams!$A$1:$N$1,1,SUMPRODUCT((Teams!$A$2:$N$13=C153&amp;" "&amp;D153)*COLUMN(A:N)))</f>
        <v xml:space="preserve">Bearcats  </v>
      </c>
      <c r="C153" s="5" t="s">
        <v>215</v>
      </c>
      <c r="D153" s="5" t="s">
        <v>374</v>
      </c>
      <c r="E153" s="5" t="s">
        <v>42</v>
      </c>
      <c r="F153" s="5" t="s">
        <v>42</v>
      </c>
      <c r="G153" s="5" t="s">
        <v>139</v>
      </c>
      <c r="H153" s="5">
        <v>72</v>
      </c>
      <c r="I153" s="5">
        <v>41</v>
      </c>
      <c r="J153" s="5">
        <v>0</v>
      </c>
      <c r="K153" s="5">
        <v>314</v>
      </c>
      <c r="L153" s="5">
        <v>379</v>
      </c>
      <c r="M153" s="5">
        <v>82.8</v>
      </c>
      <c r="N153" s="6">
        <v>0.48899999999999999</v>
      </c>
      <c r="O153" s="5">
        <v>330</v>
      </c>
      <c r="P153" s="5">
        <v>345</v>
      </c>
      <c r="Q153" s="6">
        <v>0.19600000000000001</v>
      </c>
      <c r="R153" s="6">
        <v>0.16900000000000001</v>
      </c>
      <c r="S153" s="6">
        <v>0.21099999999999999</v>
      </c>
      <c r="T153" s="5">
        <v>77</v>
      </c>
      <c r="U153" s="5">
        <v>67</v>
      </c>
      <c r="V153" s="5">
        <v>82</v>
      </c>
      <c r="W153" s="5">
        <v>74.8</v>
      </c>
      <c r="X153" s="5" t="s">
        <v>32</v>
      </c>
      <c r="Y153" s="5" t="s">
        <v>33</v>
      </c>
      <c r="Z153" s="5">
        <v>92.5</v>
      </c>
      <c r="AA153" s="5">
        <v>1</v>
      </c>
      <c r="AB153" s="5">
        <v>0</v>
      </c>
      <c r="AC153" s="5">
        <v>0</v>
      </c>
      <c r="AD153" s="5">
        <v>1</v>
      </c>
      <c r="AE153" s="5">
        <f t="shared" si="4"/>
        <v>76.8</v>
      </c>
      <c r="AF153" s="5">
        <v>76.8</v>
      </c>
      <c r="AG153" s="5" t="s">
        <v>375</v>
      </c>
    </row>
    <row r="154" spans="1:33" x14ac:dyDescent="0.25">
      <c r="A154">
        <v>251</v>
      </c>
      <c r="B154" s="3" t="e" cm="1" vm="1">
        <f t="array" aca="1" ref="B154" ca="1">INDEX(Teams!$A$1:$N$1,1,SUMPRODUCT((Teams!$A$2:$N$13=C154&amp;" "&amp;D154)*COLUMN(A:N)))</f>
        <v>#VALUE!</v>
      </c>
      <c r="C154" t="s">
        <v>98</v>
      </c>
      <c r="D154" t="s">
        <v>372</v>
      </c>
      <c r="E154" t="s">
        <v>192</v>
      </c>
      <c r="F154" t="s">
        <v>139</v>
      </c>
      <c r="G154" t="s">
        <v>42</v>
      </c>
      <c r="H154">
        <v>69</v>
      </c>
      <c r="I154">
        <v>69</v>
      </c>
      <c r="J154">
        <v>0</v>
      </c>
      <c r="K154">
        <v>359</v>
      </c>
      <c r="L154">
        <v>383</v>
      </c>
      <c r="M154">
        <v>93.7</v>
      </c>
      <c r="N154" s="2">
        <v>0.48299999999999998</v>
      </c>
      <c r="O154">
        <v>182</v>
      </c>
      <c r="P154">
        <v>195</v>
      </c>
      <c r="Q154" s="2">
        <v>0.20399999999999999</v>
      </c>
      <c r="R154" s="2">
        <v>0.17299999999999999</v>
      </c>
      <c r="S154" s="2">
        <v>0.191</v>
      </c>
      <c r="T154">
        <v>80</v>
      </c>
      <c r="U154">
        <v>69</v>
      </c>
      <c r="V154">
        <v>74</v>
      </c>
      <c r="W154">
        <v>75.400000000000006</v>
      </c>
      <c r="X154" t="s">
        <v>32</v>
      </c>
      <c r="Y154" t="s">
        <v>33</v>
      </c>
      <c r="Z154">
        <v>100</v>
      </c>
      <c r="AA154">
        <v>0</v>
      </c>
      <c r="AB154">
        <v>1</v>
      </c>
      <c r="AC154">
        <v>-2</v>
      </c>
      <c r="AD154">
        <v>2</v>
      </c>
      <c r="AE154">
        <f t="shared" si="4"/>
        <v>76.400000000000006</v>
      </c>
      <c r="AF154">
        <v>78.400000000000006</v>
      </c>
      <c r="AG154" t="s">
        <v>373</v>
      </c>
    </row>
    <row r="155" spans="1:33" s="3" customFormat="1" x14ac:dyDescent="0.25">
      <c r="A155" s="3">
        <v>466</v>
      </c>
      <c r="B155" s="3" t="str" cm="1">
        <f t="array" ref="B155">INDEX(Teams!$A$1:$N$1,1,SUMPRODUCT((Teams!$A$2:$N$13=C155&amp;" "&amp;D155)*COLUMN(A:N)))</f>
        <v xml:space="preserve">Gunslingers  </v>
      </c>
      <c r="C155" s="3" t="s">
        <v>376</v>
      </c>
      <c r="D155" s="3" t="s">
        <v>377</v>
      </c>
      <c r="E155" s="3" t="s">
        <v>192</v>
      </c>
      <c r="F155" s="3" t="s">
        <v>136</v>
      </c>
      <c r="G155" s="3" t="s">
        <v>92</v>
      </c>
      <c r="H155" s="3">
        <v>65</v>
      </c>
      <c r="I155" s="3">
        <v>74</v>
      </c>
      <c r="J155" s="3">
        <v>0</v>
      </c>
      <c r="K155" s="3">
        <v>179</v>
      </c>
      <c r="L155" s="3">
        <v>229</v>
      </c>
      <c r="M155" s="3">
        <v>78.2</v>
      </c>
      <c r="N155" s="4">
        <v>0.47199999999999998</v>
      </c>
      <c r="O155" s="3">
        <v>84</v>
      </c>
      <c r="P155" s="3">
        <v>94</v>
      </c>
      <c r="Q155" s="4">
        <v>0.19900000000000001</v>
      </c>
      <c r="R155" s="4">
        <v>0.13200000000000001</v>
      </c>
      <c r="S155" s="4">
        <v>0.26600000000000001</v>
      </c>
      <c r="T155" s="3">
        <v>78</v>
      </c>
      <c r="U155" s="3">
        <v>53</v>
      </c>
      <c r="V155" s="3">
        <v>103</v>
      </c>
      <c r="W155" s="3">
        <v>75.3</v>
      </c>
      <c r="X155" s="3" t="s">
        <v>32</v>
      </c>
      <c r="Y155" s="3" t="s">
        <v>33</v>
      </c>
      <c r="Z155" s="3">
        <v>97.5</v>
      </c>
      <c r="AA155" s="3">
        <v>0</v>
      </c>
      <c r="AB155" s="3">
        <v>1</v>
      </c>
      <c r="AC155" s="3">
        <v>0</v>
      </c>
      <c r="AD155" s="3">
        <v>0</v>
      </c>
      <c r="AE155" s="3">
        <f t="shared" si="4"/>
        <v>76.3</v>
      </c>
      <c r="AF155" s="3">
        <v>76.3</v>
      </c>
      <c r="AG155" s="3" t="s">
        <v>378</v>
      </c>
    </row>
    <row r="156" spans="1:33" x14ac:dyDescent="0.25">
      <c r="A156">
        <v>358</v>
      </c>
      <c r="B156" s="3" t="e" cm="1" vm="1">
        <f t="array" aca="1" ref="B156" ca="1">INDEX(Teams!$A$1:$N$1,1,SUMPRODUCT((Teams!$A$2:$N$13=C156&amp;" "&amp;D156)*COLUMN(A:N)))</f>
        <v>#VALUE!</v>
      </c>
      <c r="C156" t="s">
        <v>126</v>
      </c>
      <c r="D156" t="s">
        <v>379</v>
      </c>
      <c r="E156" t="s">
        <v>136</v>
      </c>
      <c r="F156" t="s">
        <v>136</v>
      </c>
      <c r="G156" t="s">
        <v>139</v>
      </c>
      <c r="H156">
        <v>67</v>
      </c>
      <c r="I156">
        <v>76</v>
      </c>
      <c r="J156">
        <v>0</v>
      </c>
      <c r="K156">
        <v>346</v>
      </c>
      <c r="L156">
        <v>379</v>
      </c>
      <c r="M156">
        <v>91.3</v>
      </c>
      <c r="N156" s="2">
        <v>0.47699999999999998</v>
      </c>
      <c r="O156">
        <v>165</v>
      </c>
      <c r="P156">
        <v>181</v>
      </c>
      <c r="Q156" s="2">
        <v>0.17299999999999999</v>
      </c>
      <c r="R156" s="2">
        <v>0.19</v>
      </c>
      <c r="S156" s="2">
        <v>0.18099999999999999</v>
      </c>
      <c r="T156">
        <v>68</v>
      </c>
      <c r="U156">
        <v>76</v>
      </c>
      <c r="V156">
        <v>70</v>
      </c>
      <c r="W156">
        <v>70.5</v>
      </c>
      <c r="X156" t="s">
        <v>32</v>
      </c>
      <c r="Y156" t="s">
        <v>33</v>
      </c>
      <c r="Z156">
        <v>100</v>
      </c>
      <c r="AA156">
        <v>2</v>
      </c>
      <c r="AB156">
        <v>1</v>
      </c>
      <c r="AC156">
        <v>0</v>
      </c>
      <c r="AD156">
        <v>2</v>
      </c>
      <c r="AE156">
        <f t="shared" si="4"/>
        <v>75.5</v>
      </c>
      <c r="AF156">
        <v>75.5</v>
      </c>
      <c r="AG156" t="s">
        <v>380</v>
      </c>
    </row>
    <row r="157" spans="1:33" s="3" customFormat="1" x14ac:dyDescent="0.25">
      <c r="A157" s="3">
        <v>361</v>
      </c>
      <c r="B157" s="3" t="str" cm="1">
        <f t="array" ref="B157">INDEX(Teams!$A$1:$N$1,1,SUMPRODUCT((Teams!$A$2:$N$13=C157&amp;" "&amp;D157)*COLUMN(A:N)))</f>
        <v>DEATHSTARS .</v>
      </c>
      <c r="C157" s="3" t="s">
        <v>289</v>
      </c>
      <c r="D157" s="3" t="s">
        <v>384</v>
      </c>
      <c r="E157" s="3" t="s">
        <v>47</v>
      </c>
      <c r="F157" s="3" t="s">
        <v>420</v>
      </c>
      <c r="G157" s="3" t="s">
        <v>420</v>
      </c>
      <c r="H157" s="3">
        <v>65</v>
      </c>
      <c r="I157" s="3">
        <v>0</v>
      </c>
      <c r="J157" s="3">
        <v>0</v>
      </c>
      <c r="K157" s="3">
        <v>205</v>
      </c>
      <c r="L157" s="3">
        <v>252</v>
      </c>
      <c r="M157" s="3">
        <v>81.3</v>
      </c>
      <c r="N157" s="4">
        <v>0.45400000000000001</v>
      </c>
      <c r="O157" s="3">
        <v>93</v>
      </c>
      <c r="P157" s="3">
        <v>112</v>
      </c>
      <c r="Q157" s="4">
        <v>0</v>
      </c>
      <c r="S157" s="4">
        <v>0.13700000000000001</v>
      </c>
      <c r="T157" s="3">
        <v>0</v>
      </c>
      <c r="V157" s="3">
        <v>53</v>
      </c>
      <c r="W157" s="3">
        <v>68.8</v>
      </c>
      <c r="X157" s="3" t="s">
        <v>106</v>
      </c>
      <c r="Y157" s="3" t="s">
        <v>33</v>
      </c>
      <c r="Z157" s="3">
        <v>90</v>
      </c>
      <c r="AA157" s="3">
        <v>2.5</v>
      </c>
      <c r="AB157" s="3">
        <v>1</v>
      </c>
      <c r="AC157" s="3">
        <v>2</v>
      </c>
      <c r="AD157" s="3">
        <v>1</v>
      </c>
      <c r="AE157" s="3">
        <f t="shared" si="4"/>
        <v>75.3</v>
      </c>
      <c r="AF157" s="3">
        <v>73.3</v>
      </c>
      <c r="AG157" s="3" t="s">
        <v>385</v>
      </c>
    </row>
    <row r="158" spans="1:33" x14ac:dyDescent="0.25">
      <c r="A158">
        <v>243</v>
      </c>
      <c r="B158" s="3" t="e" cm="1" vm="1">
        <f t="array" aca="1" ref="B158" ca="1">INDEX(Teams!$A$1:$N$1,1,SUMPRODUCT((Teams!$A$2:$N$13=C158&amp;" "&amp;D158)*COLUMN(A:N)))</f>
        <v>#VALUE!</v>
      </c>
      <c r="C158" t="s">
        <v>339</v>
      </c>
      <c r="D158" t="s">
        <v>381</v>
      </c>
      <c r="E158" t="s">
        <v>192</v>
      </c>
      <c r="F158" t="s">
        <v>466</v>
      </c>
      <c r="G158" t="s">
        <v>467</v>
      </c>
      <c r="H158">
        <v>76</v>
      </c>
      <c r="I158">
        <v>73</v>
      </c>
      <c r="J158">
        <v>0</v>
      </c>
      <c r="K158">
        <v>345</v>
      </c>
      <c r="L158">
        <v>378</v>
      </c>
      <c r="M158">
        <v>91.3</v>
      </c>
      <c r="N158" s="2">
        <v>0.53200000000000003</v>
      </c>
      <c r="O158">
        <v>278</v>
      </c>
      <c r="P158">
        <v>245</v>
      </c>
      <c r="Q158" s="2">
        <v>0.19600000000000001</v>
      </c>
      <c r="R158" s="2">
        <v>0.16400000000000001</v>
      </c>
      <c r="S158" s="2">
        <v>0.222</v>
      </c>
      <c r="T158">
        <v>77</v>
      </c>
      <c r="U158">
        <v>65</v>
      </c>
      <c r="V158">
        <v>86</v>
      </c>
      <c r="W158">
        <v>75.2</v>
      </c>
      <c r="X158" t="s">
        <v>32</v>
      </c>
      <c r="Y158" t="s">
        <v>33</v>
      </c>
      <c r="Z158">
        <v>100</v>
      </c>
      <c r="AA158">
        <v>0</v>
      </c>
      <c r="AB158">
        <v>-2</v>
      </c>
      <c r="AC158">
        <v>0</v>
      </c>
      <c r="AD158">
        <v>2</v>
      </c>
      <c r="AE158">
        <f t="shared" si="4"/>
        <v>75.2</v>
      </c>
      <c r="AF158">
        <v>75.2</v>
      </c>
      <c r="AG158" t="s">
        <v>382</v>
      </c>
    </row>
    <row r="159" spans="1:33" x14ac:dyDescent="0.25">
      <c r="A159">
        <v>345</v>
      </c>
      <c r="B159" s="3" t="e" cm="1" vm="1">
        <f t="array" aca="1" ref="B159" ca="1">INDEX(Teams!$A$1:$N$1,1,SUMPRODUCT((Teams!$A$2:$N$13=C159&amp;" "&amp;D159)*COLUMN(A:N)))</f>
        <v>#VALUE!</v>
      </c>
      <c r="C159" t="s">
        <v>187</v>
      </c>
      <c r="D159" t="s">
        <v>383</v>
      </c>
      <c r="E159" t="s">
        <v>192</v>
      </c>
      <c r="F159" t="s">
        <v>42</v>
      </c>
      <c r="G159" t="s">
        <v>139</v>
      </c>
      <c r="H159">
        <v>69</v>
      </c>
      <c r="I159">
        <v>78</v>
      </c>
      <c r="J159">
        <v>0</v>
      </c>
      <c r="K159">
        <v>313</v>
      </c>
      <c r="L159">
        <v>381</v>
      </c>
      <c r="M159">
        <v>82.2</v>
      </c>
      <c r="N159" s="2">
        <v>0.54800000000000004</v>
      </c>
      <c r="O159">
        <v>171</v>
      </c>
      <c r="P159">
        <v>141</v>
      </c>
      <c r="Q159" s="2">
        <v>0.156</v>
      </c>
      <c r="R159" s="2">
        <v>0.223</v>
      </c>
      <c r="S159" s="2">
        <v>0.20300000000000001</v>
      </c>
      <c r="T159">
        <v>61</v>
      </c>
      <c r="U159">
        <v>89</v>
      </c>
      <c r="V159">
        <v>78</v>
      </c>
      <c r="W159">
        <v>72.8</v>
      </c>
      <c r="X159" t="s">
        <v>32</v>
      </c>
      <c r="Y159" t="s">
        <v>33</v>
      </c>
      <c r="Z159">
        <v>100</v>
      </c>
      <c r="AA159">
        <v>0</v>
      </c>
      <c r="AB159">
        <v>1</v>
      </c>
      <c r="AC159">
        <v>0</v>
      </c>
      <c r="AD159">
        <v>1</v>
      </c>
      <c r="AE159">
        <f t="shared" si="4"/>
        <v>74.8</v>
      </c>
      <c r="AF159">
        <v>74.8</v>
      </c>
    </row>
    <row r="160" spans="1:33" x14ac:dyDescent="0.25">
      <c r="A160">
        <v>250</v>
      </c>
      <c r="B160" s="3" t="e" cm="1" vm="1">
        <f t="array" aca="1" ref="B160" ca="1">INDEX(Teams!$A$1:$N$1,1,SUMPRODUCT((Teams!$A$2:$N$13=C160&amp;" "&amp;D160)*COLUMN(A:N)))</f>
        <v>#VALUE!</v>
      </c>
      <c r="C160" t="s">
        <v>58</v>
      </c>
      <c r="D160" t="s">
        <v>386</v>
      </c>
      <c r="E160" t="s">
        <v>192</v>
      </c>
      <c r="F160" t="s">
        <v>42</v>
      </c>
      <c r="G160" t="s">
        <v>139</v>
      </c>
      <c r="H160">
        <v>68</v>
      </c>
      <c r="I160">
        <v>69</v>
      </c>
      <c r="J160">
        <v>0</v>
      </c>
      <c r="K160">
        <v>351</v>
      </c>
      <c r="L160">
        <v>381</v>
      </c>
      <c r="M160">
        <v>92.1</v>
      </c>
      <c r="N160" s="2">
        <v>0.48899999999999999</v>
      </c>
      <c r="O160">
        <v>252</v>
      </c>
      <c r="P160">
        <v>263</v>
      </c>
      <c r="Q160" s="2">
        <v>0.14799999999999999</v>
      </c>
      <c r="R160" s="2">
        <v>0.24099999999999999</v>
      </c>
      <c r="S160" s="2">
        <v>0.156</v>
      </c>
      <c r="T160">
        <v>58</v>
      </c>
      <c r="U160">
        <v>96</v>
      </c>
      <c r="V160">
        <v>60</v>
      </c>
      <c r="W160">
        <v>69.900000000000006</v>
      </c>
      <c r="X160" t="s">
        <v>32</v>
      </c>
      <c r="Y160" t="s">
        <v>33</v>
      </c>
      <c r="Z160">
        <v>97.5</v>
      </c>
      <c r="AA160">
        <v>0</v>
      </c>
      <c r="AB160">
        <v>1</v>
      </c>
      <c r="AC160">
        <v>0</v>
      </c>
      <c r="AD160">
        <v>2</v>
      </c>
      <c r="AE160">
        <f t="shared" si="4"/>
        <v>72.900000000000006</v>
      </c>
      <c r="AF160">
        <v>72.900000000000006</v>
      </c>
      <c r="AG160" t="s">
        <v>387</v>
      </c>
    </row>
    <row r="161" spans="1:33" x14ac:dyDescent="0.25">
      <c r="A161">
        <v>385</v>
      </c>
      <c r="B161" s="3" t="e" cm="1" vm="1">
        <f t="array" aca="1" ref="B161" ca="1">INDEX(Teams!$A$1:$N$1,1,SUMPRODUCT((Teams!$A$2:$N$13=C161&amp;" "&amp;D161)*COLUMN(A:N)))</f>
        <v>#VALUE!</v>
      </c>
      <c r="C161" t="s">
        <v>388</v>
      </c>
      <c r="D161" t="s">
        <v>389</v>
      </c>
      <c r="E161" t="s">
        <v>92</v>
      </c>
      <c r="F161" t="s">
        <v>92</v>
      </c>
      <c r="G161" t="s">
        <v>192</v>
      </c>
      <c r="H161">
        <v>67</v>
      </c>
      <c r="I161">
        <v>0</v>
      </c>
      <c r="J161">
        <v>0</v>
      </c>
      <c r="K161">
        <v>62</v>
      </c>
      <c r="L161">
        <v>83</v>
      </c>
      <c r="M161">
        <v>74.7</v>
      </c>
      <c r="N161" s="2">
        <v>0.48399999999999999</v>
      </c>
      <c r="O161">
        <v>30</v>
      </c>
      <c r="P161">
        <v>32</v>
      </c>
      <c r="Q161" s="2">
        <v>0</v>
      </c>
      <c r="S161" s="2">
        <v>0.17499999999999999</v>
      </c>
      <c r="T161">
        <v>0</v>
      </c>
      <c r="V161">
        <v>68</v>
      </c>
      <c r="W161">
        <v>70.400000000000006</v>
      </c>
      <c r="X161" t="s">
        <v>43</v>
      </c>
      <c r="Y161" t="s">
        <v>33</v>
      </c>
      <c r="Z161">
        <v>100</v>
      </c>
      <c r="AA161">
        <v>1.5</v>
      </c>
      <c r="AB161">
        <v>1</v>
      </c>
      <c r="AC161">
        <v>0</v>
      </c>
      <c r="AD161">
        <v>0</v>
      </c>
      <c r="AE161">
        <f t="shared" si="4"/>
        <v>72.900000000000006</v>
      </c>
      <c r="AF161">
        <v>72.900000000000006</v>
      </c>
    </row>
    <row r="162" spans="1:33" x14ac:dyDescent="0.25">
      <c r="A162">
        <v>75</v>
      </c>
      <c r="B162" s="3" t="e" cm="1" vm="1">
        <f t="array" aca="1" ref="B162" ca="1">INDEX(Teams!$A$1:$N$1,1,SUMPRODUCT((Teams!$A$2:$N$13=C162&amp;" "&amp;D162)*COLUMN(A:N)))</f>
        <v>#VALUE!</v>
      </c>
      <c r="C162" t="s">
        <v>390</v>
      </c>
      <c r="D162" t="s">
        <v>391</v>
      </c>
      <c r="E162" t="s">
        <v>192</v>
      </c>
      <c r="F162" t="s">
        <v>568</v>
      </c>
      <c r="G162" t="s">
        <v>472</v>
      </c>
      <c r="H162">
        <v>78</v>
      </c>
      <c r="I162">
        <v>0</v>
      </c>
      <c r="J162">
        <v>0</v>
      </c>
      <c r="K162">
        <v>303</v>
      </c>
      <c r="L162">
        <v>360</v>
      </c>
      <c r="M162">
        <v>84.2</v>
      </c>
      <c r="N162" s="2">
        <v>0.55800000000000005</v>
      </c>
      <c r="O162">
        <v>263</v>
      </c>
      <c r="P162">
        <v>208</v>
      </c>
      <c r="Q162" s="2">
        <v>0</v>
      </c>
      <c r="S162" s="2">
        <v>0.16600000000000001</v>
      </c>
      <c r="T162">
        <v>0</v>
      </c>
      <c r="V162">
        <v>64</v>
      </c>
      <c r="W162">
        <v>73</v>
      </c>
      <c r="X162" t="s">
        <v>106</v>
      </c>
      <c r="Y162" t="s">
        <v>33</v>
      </c>
      <c r="Z162">
        <v>100</v>
      </c>
      <c r="AA162">
        <v>0</v>
      </c>
      <c r="AB162">
        <v>-2</v>
      </c>
      <c r="AC162">
        <v>0</v>
      </c>
      <c r="AD162">
        <v>1</v>
      </c>
      <c r="AE162">
        <f t="shared" ref="AE162:AE165" si="5">AF162+AC162</f>
        <v>72</v>
      </c>
      <c r="AF162">
        <v>72</v>
      </c>
    </row>
    <row r="163" spans="1:33" s="3" customFormat="1" x14ac:dyDescent="0.25">
      <c r="A163" s="3">
        <v>315</v>
      </c>
      <c r="B163" s="3" t="str" cm="1">
        <f t="array" ref="B163">INDEX(Teams!$A$1:$N$1,1,SUMPRODUCT((Teams!$A$2:$N$13=C163&amp;" "&amp;D163)*COLUMN(A:N)))</f>
        <v>Team USA</v>
      </c>
      <c r="C163" s="3" t="s">
        <v>123</v>
      </c>
      <c r="D163" s="3" t="s">
        <v>392</v>
      </c>
      <c r="E163" s="3" t="s">
        <v>42</v>
      </c>
      <c r="F163" s="3" t="s">
        <v>42</v>
      </c>
      <c r="G163" s="3" t="s">
        <v>42</v>
      </c>
      <c r="H163" s="3">
        <v>74</v>
      </c>
      <c r="I163" s="3">
        <v>40</v>
      </c>
      <c r="J163" s="3">
        <v>0</v>
      </c>
      <c r="K163" s="3">
        <v>220</v>
      </c>
      <c r="L163" s="3">
        <v>249</v>
      </c>
      <c r="M163" s="3">
        <v>88.4</v>
      </c>
      <c r="N163" s="4">
        <v>0.51800000000000002</v>
      </c>
      <c r="O163" s="3">
        <v>113</v>
      </c>
      <c r="P163" s="3">
        <v>105</v>
      </c>
      <c r="Q163" s="4">
        <v>0.182</v>
      </c>
      <c r="R163" s="4">
        <v>0.13200000000000001</v>
      </c>
      <c r="S163" s="4">
        <v>0.16900000000000001</v>
      </c>
      <c r="T163" s="3">
        <v>71</v>
      </c>
      <c r="U163" s="3">
        <v>53</v>
      </c>
      <c r="V163" s="3">
        <v>65</v>
      </c>
      <c r="W163" s="3">
        <v>64.5</v>
      </c>
      <c r="X163" s="3" t="s">
        <v>32</v>
      </c>
      <c r="Y163" s="3" t="s">
        <v>33</v>
      </c>
      <c r="Z163" s="3">
        <v>100</v>
      </c>
      <c r="AA163" s="3">
        <v>1</v>
      </c>
      <c r="AB163" s="3">
        <v>0</v>
      </c>
      <c r="AC163" s="3">
        <v>0</v>
      </c>
      <c r="AD163" s="3">
        <v>1</v>
      </c>
      <c r="AE163" s="3">
        <f t="shared" si="5"/>
        <v>66.5</v>
      </c>
      <c r="AF163" s="3">
        <v>66.5</v>
      </c>
      <c r="AG163" s="3" t="s">
        <v>393</v>
      </c>
    </row>
    <row r="164" spans="1:33" x14ac:dyDescent="0.25">
      <c r="A164" s="5">
        <v>515</v>
      </c>
      <c r="B164" s="3" t="str" cm="1">
        <f t="array" ref="B164">INDEX(Teams!$A$1:$N$1,1,SUMPRODUCT((Teams!$A$2:$N$13=C164&amp;" "&amp;D164)*COLUMN(A:N)))</f>
        <v xml:space="preserve">Shorebirds  </v>
      </c>
      <c r="C164" s="5" t="s">
        <v>282</v>
      </c>
      <c r="D164" s="5" t="s">
        <v>394</v>
      </c>
      <c r="E164" s="5" t="s">
        <v>42</v>
      </c>
      <c r="F164" s="5" t="s">
        <v>42</v>
      </c>
      <c r="G164" s="5" t="s">
        <v>139</v>
      </c>
      <c r="H164" s="5">
        <v>57</v>
      </c>
      <c r="I164" s="5">
        <v>10</v>
      </c>
      <c r="J164" s="5">
        <v>0</v>
      </c>
      <c r="K164" s="5">
        <v>135</v>
      </c>
      <c r="L164" s="5">
        <v>163</v>
      </c>
      <c r="M164" s="5">
        <v>82.8</v>
      </c>
      <c r="N164" s="6">
        <v>0.51900000000000002</v>
      </c>
      <c r="O164" s="5">
        <v>70</v>
      </c>
      <c r="P164" s="5">
        <v>65</v>
      </c>
      <c r="Q164" s="6">
        <v>8.2000000000000003E-2</v>
      </c>
      <c r="R164" s="6">
        <v>0.17100000000000001</v>
      </c>
      <c r="S164" s="6">
        <v>0.217</v>
      </c>
      <c r="T164" s="5">
        <v>32</v>
      </c>
      <c r="U164" s="5">
        <v>68</v>
      </c>
      <c r="V164" s="5">
        <v>84</v>
      </c>
      <c r="W164" s="5">
        <v>53.2</v>
      </c>
      <c r="X164" s="5" t="s">
        <v>32</v>
      </c>
      <c r="Y164" s="5" t="s">
        <v>33</v>
      </c>
      <c r="Z164" s="5">
        <v>97.5</v>
      </c>
      <c r="AA164" s="5">
        <v>1</v>
      </c>
      <c r="AB164" s="5">
        <v>5</v>
      </c>
      <c r="AC164" s="5">
        <v>0</v>
      </c>
      <c r="AD164" s="5">
        <v>1</v>
      </c>
      <c r="AE164" s="5">
        <f t="shared" si="5"/>
        <v>60.2</v>
      </c>
      <c r="AF164" s="5">
        <v>60.2</v>
      </c>
      <c r="AG164" s="5" t="s">
        <v>173</v>
      </c>
    </row>
    <row r="165" spans="1:33" s="3" customFormat="1" x14ac:dyDescent="0.25">
      <c r="A165" s="3">
        <v>343</v>
      </c>
      <c r="B165" s="3" t="str" cm="1">
        <f t="array" ref="B165">INDEX(Teams!$A$1:$N$1,1,SUMPRODUCT((Teams!$A$2:$N$13=C165&amp;" "&amp;D165)*COLUMN(A:N)))</f>
        <v xml:space="preserve">Tigers   </v>
      </c>
      <c r="C165" s="3" t="s">
        <v>252</v>
      </c>
      <c r="D165" s="3" t="s">
        <v>253</v>
      </c>
      <c r="E165" s="3" t="s">
        <v>192</v>
      </c>
      <c r="F165" s="3" t="s">
        <v>420</v>
      </c>
      <c r="G165" s="3" t="s">
        <v>477</v>
      </c>
      <c r="H165" s="3">
        <v>64</v>
      </c>
      <c r="I165" s="3">
        <v>0</v>
      </c>
      <c r="J165" s="3">
        <v>0</v>
      </c>
      <c r="K165" s="3">
        <v>241</v>
      </c>
      <c r="L165" s="3">
        <v>278</v>
      </c>
      <c r="M165" s="3">
        <v>86.7</v>
      </c>
      <c r="N165" s="4">
        <v>0.50600000000000001</v>
      </c>
      <c r="O165" s="3">
        <v>122</v>
      </c>
      <c r="P165" s="3">
        <v>119</v>
      </c>
      <c r="Q165" s="4">
        <v>0</v>
      </c>
      <c r="T165" s="3">
        <v>0</v>
      </c>
      <c r="W165" s="3">
        <v>98.8</v>
      </c>
      <c r="X165" s="3" t="s">
        <v>254</v>
      </c>
      <c r="Y165" s="3" t="s">
        <v>192</v>
      </c>
      <c r="Z165" s="3">
        <v>76</v>
      </c>
      <c r="AA165" s="3">
        <v>0</v>
      </c>
      <c r="AB165" s="3">
        <v>3</v>
      </c>
      <c r="AC165" s="3">
        <v>-99999</v>
      </c>
      <c r="AD165" s="3">
        <v>1</v>
      </c>
      <c r="AE165" s="3">
        <f t="shared" si="5"/>
        <v>-99896.2</v>
      </c>
      <c r="AF165" s="3">
        <v>102.8</v>
      </c>
    </row>
  </sheetData>
  <sortState xmlns:xlrd2="http://schemas.microsoft.com/office/spreadsheetml/2017/richdata2" ref="A2:AG165">
    <sortCondition descending="1" ref="AE2:AE165"/>
  </sortState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198FB-CC6C-47EF-8254-9DC59DADECA3}">
  <dimension ref="A1:L165"/>
  <sheetViews>
    <sheetView tabSelected="1" workbookViewId="0">
      <selection activeCell="P18" sqref="P18"/>
    </sheetView>
  </sheetViews>
  <sheetFormatPr defaultRowHeight="15" x14ac:dyDescent="0.25"/>
  <sheetData>
    <row r="1" spans="1:12" x14ac:dyDescent="0.25">
      <c r="A1" t="s">
        <v>946</v>
      </c>
      <c r="B1" t="s">
        <v>1</v>
      </c>
      <c r="C1" t="s">
        <v>2</v>
      </c>
      <c r="D1" t="s">
        <v>4</v>
      </c>
      <c r="I1" t="s">
        <v>946</v>
      </c>
    </row>
    <row r="2" spans="1:12" x14ac:dyDescent="0.25">
      <c r="A2" t="s">
        <v>791</v>
      </c>
      <c r="B2" t="s">
        <v>29</v>
      </c>
      <c r="C2" t="s">
        <v>30</v>
      </c>
      <c r="D2">
        <v>61</v>
      </c>
      <c r="I2" t="s">
        <v>802</v>
      </c>
      <c r="J2" t="s">
        <v>963</v>
      </c>
      <c r="K2" s="13">
        <f>AVERAGEIF(A:A,I2,D:D)</f>
        <v>61.272727272727273</v>
      </c>
      <c r="L2">
        <f>COUNTIFS(A:A,I2,D:D,"&gt;0")</f>
        <v>11</v>
      </c>
    </row>
    <row r="3" spans="1:12" x14ac:dyDescent="0.25">
      <c r="A3" t="s">
        <v>796</v>
      </c>
      <c r="B3" t="s">
        <v>35</v>
      </c>
      <c r="C3" t="s">
        <v>36</v>
      </c>
      <c r="D3">
        <v>58</v>
      </c>
      <c r="I3" t="s">
        <v>792</v>
      </c>
      <c r="J3" t="s">
        <v>968</v>
      </c>
      <c r="K3" s="13">
        <f>AVERAGEIF(A:A,I3,D:D)</f>
        <v>61.636363636363633</v>
      </c>
      <c r="L3">
        <f>COUNTIFS(A:A,I3,D:D,"&gt;0")</f>
        <v>11</v>
      </c>
    </row>
    <row r="4" spans="1:12" x14ac:dyDescent="0.25">
      <c r="A4" t="s">
        <v>793</v>
      </c>
      <c r="B4" t="s">
        <v>45</v>
      </c>
      <c r="C4" t="s">
        <v>46</v>
      </c>
      <c r="D4">
        <v>62</v>
      </c>
      <c r="I4" t="s">
        <v>795</v>
      </c>
      <c r="J4" t="s">
        <v>795</v>
      </c>
      <c r="K4" s="13">
        <f>AVERAGEIF(A:A,I4,D:D)</f>
        <v>61.727272727272727</v>
      </c>
      <c r="L4">
        <f>COUNTIFS(A:A,I4,D:D,"&gt;0")</f>
        <v>11</v>
      </c>
    </row>
    <row r="5" spans="1:12" x14ac:dyDescent="0.25">
      <c r="A5" t="s">
        <v>795</v>
      </c>
      <c r="B5" t="s">
        <v>51</v>
      </c>
      <c r="C5" t="s">
        <v>52</v>
      </c>
      <c r="D5">
        <v>55</v>
      </c>
      <c r="I5" t="s">
        <v>797</v>
      </c>
      <c r="J5" t="s">
        <v>964</v>
      </c>
      <c r="K5" s="13">
        <f>AVERAGEIF(A:A,I5,D:D)</f>
        <v>62.18181818181818</v>
      </c>
      <c r="L5">
        <f>COUNTIFS(A:A,I5,D:D,"&gt;0")</f>
        <v>11</v>
      </c>
    </row>
    <row r="6" spans="1:12" x14ac:dyDescent="0.25">
      <c r="A6" t="s">
        <v>800</v>
      </c>
      <c r="B6" t="s">
        <v>54</v>
      </c>
      <c r="C6" t="s">
        <v>55</v>
      </c>
      <c r="D6">
        <v>58</v>
      </c>
      <c r="I6" t="s">
        <v>801</v>
      </c>
      <c r="J6" t="s">
        <v>970</v>
      </c>
      <c r="K6" s="13">
        <f>AVERAGEIF(A:A,I6,D:D)</f>
        <v>62.272727272727273</v>
      </c>
      <c r="L6">
        <f>COUNTIFS(A:A,I6,D:D,"&gt;0")</f>
        <v>11</v>
      </c>
    </row>
    <row r="7" spans="1:12" x14ac:dyDescent="0.25">
      <c r="A7" t="s">
        <v>792</v>
      </c>
      <c r="B7" t="s">
        <v>58</v>
      </c>
      <c r="C7" t="s">
        <v>59</v>
      </c>
      <c r="D7">
        <v>57</v>
      </c>
      <c r="I7" t="s">
        <v>800</v>
      </c>
      <c r="J7" t="s">
        <v>965</v>
      </c>
      <c r="K7" s="13">
        <f>AVERAGEIF(A:A,I7,D:D)</f>
        <v>62.727272727272727</v>
      </c>
      <c r="L7">
        <f>COUNTIFS(A:A,I7,D:D,"&gt;0")</f>
        <v>11</v>
      </c>
    </row>
    <row r="8" spans="1:12" x14ac:dyDescent="0.25">
      <c r="A8" t="s">
        <v>794</v>
      </c>
      <c r="B8" t="s">
        <v>54</v>
      </c>
      <c r="C8" t="s">
        <v>61</v>
      </c>
      <c r="D8">
        <v>57</v>
      </c>
      <c r="I8" t="s">
        <v>790</v>
      </c>
      <c r="J8" t="s">
        <v>790</v>
      </c>
      <c r="K8" s="13">
        <f>AVERAGEIF(A:A,I8,D:D)</f>
        <v>62.81818181818182</v>
      </c>
      <c r="L8">
        <f>COUNTIFS(A:A,I8,D:D,"&gt;0")</f>
        <v>11</v>
      </c>
    </row>
    <row r="9" spans="1:12" x14ac:dyDescent="0.25">
      <c r="A9" t="s">
        <v>797</v>
      </c>
      <c r="B9" t="s">
        <v>40</v>
      </c>
      <c r="C9" t="s">
        <v>41</v>
      </c>
      <c r="D9">
        <v>68</v>
      </c>
      <c r="I9" t="s">
        <v>794</v>
      </c>
      <c r="J9" t="s">
        <v>969</v>
      </c>
      <c r="K9" s="13">
        <f>AVERAGEIF(A:A,I9,D:D)</f>
        <v>62.909090909090907</v>
      </c>
      <c r="L9">
        <f>COUNTIFS(A:A,I9,D:D,"&gt;0")</f>
        <v>11</v>
      </c>
    </row>
    <row r="10" spans="1:12" x14ac:dyDescent="0.25">
      <c r="A10" t="s">
        <v>794</v>
      </c>
      <c r="B10" t="s">
        <v>63</v>
      </c>
      <c r="C10" t="s">
        <v>64</v>
      </c>
      <c r="D10">
        <v>63</v>
      </c>
      <c r="I10" t="s">
        <v>791</v>
      </c>
      <c r="J10" t="s">
        <v>791</v>
      </c>
      <c r="K10" s="13">
        <f>AVERAGEIF(A:A,I10,D:D)</f>
        <v>63</v>
      </c>
      <c r="L10">
        <f>COUNTIFS(A:A,I10,D:D,"&gt;0")</f>
        <v>11</v>
      </c>
    </row>
    <row r="11" spans="1:12" x14ac:dyDescent="0.25">
      <c r="A11" t="s">
        <v>802</v>
      </c>
      <c r="B11" t="s">
        <v>51</v>
      </c>
      <c r="C11" t="s">
        <v>76</v>
      </c>
      <c r="D11">
        <v>62</v>
      </c>
      <c r="I11" t="s">
        <v>798</v>
      </c>
      <c r="J11" t="s">
        <v>966</v>
      </c>
      <c r="K11" s="13">
        <f>AVERAGEIF(A:A,I11,D:D)</f>
        <v>63.545454545454547</v>
      </c>
      <c r="L11">
        <f>COUNTIFS(A:A,I11,D:D,"&gt;0")</f>
        <v>11</v>
      </c>
    </row>
    <row r="12" spans="1:12" x14ac:dyDescent="0.25">
      <c r="A12" t="s">
        <v>797</v>
      </c>
      <c r="B12" t="s">
        <v>69</v>
      </c>
      <c r="C12" t="s">
        <v>70</v>
      </c>
      <c r="D12">
        <v>60</v>
      </c>
      <c r="I12" t="s">
        <v>799</v>
      </c>
      <c r="J12" t="s">
        <v>799</v>
      </c>
      <c r="K12" s="13">
        <f>AVERAGEIF(A:A,I12,D:D)</f>
        <v>64.272727272727266</v>
      </c>
      <c r="L12">
        <f>COUNTIFS(A:A,I12,D:D,"&gt;0")</f>
        <v>11</v>
      </c>
    </row>
    <row r="13" spans="1:12" x14ac:dyDescent="0.25">
      <c r="A13" t="s">
        <v>790</v>
      </c>
      <c r="B13" t="s">
        <v>79</v>
      </c>
      <c r="C13" t="s">
        <v>80</v>
      </c>
      <c r="D13">
        <v>54</v>
      </c>
      <c r="I13" t="s">
        <v>796</v>
      </c>
      <c r="J13" t="s">
        <v>972</v>
      </c>
      <c r="K13" s="13">
        <f>AVERAGEIF(A:A,I13,D:D)</f>
        <v>64.818181818181813</v>
      </c>
      <c r="L13">
        <f>COUNTIFS(A:A,I13,D:D,"&gt;0")</f>
        <v>11</v>
      </c>
    </row>
    <row r="14" spans="1:12" x14ac:dyDescent="0.25">
      <c r="A14" t="s">
        <v>802</v>
      </c>
      <c r="B14" t="s">
        <v>83</v>
      </c>
      <c r="C14" t="s">
        <v>84</v>
      </c>
      <c r="D14">
        <v>55</v>
      </c>
      <c r="I14" t="s">
        <v>793</v>
      </c>
      <c r="J14" t="s">
        <v>967</v>
      </c>
      <c r="K14" s="13">
        <f>AVERAGEIF(A:A,I14,D:D)</f>
        <v>65.090909090909093</v>
      </c>
      <c r="L14">
        <f>COUNTIFS(A:A,I14,D:D,"&gt;0")</f>
        <v>11</v>
      </c>
    </row>
    <row r="15" spans="1:12" x14ac:dyDescent="0.25">
      <c r="A15" t="s">
        <v>799</v>
      </c>
      <c r="B15" t="s">
        <v>66</v>
      </c>
      <c r="C15" t="s">
        <v>67</v>
      </c>
      <c r="D15">
        <v>54</v>
      </c>
      <c r="I15" t="s">
        <v>803</v>
      </c>
      <c r="J15" t="s">
        <v>971</v>
      </c>
      <c r="K15" s="13">
        <f>AVERAGEIF(A:A,I15,D:D)</f>
        <v>65.454545454545453</v>
      </c>
      <c r="L15">
        <f>COUNTIFS(A:A,I15,D:D,"&gt;0")</f>
        <v>11</v>
      </c>
    </row>
    <row r="16" spans="1:12" x14ac:dyDescent="0.25">
      <c r="A16" t="s">
        <v>801</v>
      </c>
      <c r="B16" t="s">
        <v>87</v>
      </c>
      <c r="C16" t="s">
        <v>88</v>
      </c>
      <c r="D16">
        <v>54</v>
      </c>
    </row>
    <row r="17" spans="1:4" x14ac:dyDescent="0.25">
      <c r="A17" t="s">
        <v>796</v>
      </c>
      <c r="B17" t="s">
        <v>73</v>
      </c>
      <c r="C17" t="s">
        <v>74</v>
      </c>
      <c r="D17">
        <v>64</v>
      </c>
    </row>
    <row r="18" spans="1:4" x14ac:dyDescent="0.25">
      <c r="A18" t="s">
        <v>803</v>
      </c>
      <c r="B18" t="s">
        <v>90</v>
      </c>
      <c r="C18" t="s">
        <v>91</v>
      </c>
      <c r="D18">
        <v>63</v>
      </c>
    </row>
    <row r="19" spans="1:4" x14ac:dyDescent="0.25">
      <c r="A19" t="s">
        <v>799</v>
      </c>
      <c r="B19" t="s">
        <v>96</v>
      </c>
      <c r="C19" t="s">
        <v>97</v>
      </c>
      <c r="D19">
        <v>55</v>
      </c>
    </row>
    <row r="20" spans="1:4" x14ac:dyDescent="0.25">
      <c r="A20" t="s">
        <v>792</v>
      </c>
      <c r="B20" t="s">
        <v>81</v>
      </c>
      <c r="C20" t="s">
        <v>82</v>
      </c>
      <c r="D20">
        <v>52</v>
      </c>
    </row>
    <row r="21" spans="1:4" x14ac:dyDescent="0.25">
      <c r="A21" t="s">
        <v>791</v>
      </c>
      <c r="B21" t="s">
        <v>100</v>
      </c>
      <c r="C21" t="s">
        <v>101</v>
      </c>
      <c r="D21">
        <v>65</v>
      </c>
    </row>
    <row r="22" spans="1:4" x14ac:dyDescent="0.25">
      <c r="A22" t="s">
        <v>801</v>
      </c>
      <c r="B22" t="s">
        <v>104</v>
      </c>
      <c r="C22" t="s">
        <v>105</v>
      </c>
      <c r="D22">
        <v>65</v>
      </c>
    </row>
    <row r="23" spans="1:4" x14ac:dyDescent="0.25">
      <c r="A23" t="s">
        <v>792</v>
      </c>
      <c r="B23" t="s">
        <v>100</v>
      </c>
      <c r="C23" t="s">
        <v>108</v>
      </c>
      <c r="D23">
        <v>56</v>
      </c>
    </row>
    <row r="24" spans="1:4" x14ac:dyDescent="0.25">
      <c r="A24" t="s">
        <v>793</v>
      </c>
      <c r="B24" t="s">
        <v>109</v>
      </c>
      <c r="C24" t="s">
        <v>110</v>
      </c>
      <c r="D24">
        <v>58</v>
      </c>
    </row>
    <row r="25" spans="1:4" x14ac:dyDescent="0.25">
      <c r="A25" t="s">
        <v>793</v>
      </c>
      <c r="B25" t="s">
        <v>98</v>
      </c>
      <c r="C25" t="s">
        <v>99</v>
      </c>
      <c r="D25">
        <v>66</v>
      </c>
    </row>
    <row r="26" spans="1:4" x14ac:dyDescent="0.25">
      <c r="A26" t="s">
        <v>795</v>
      </c>
      <c r="B26" t="s">
        <v>112</v>
      </c>
      <c r="C26" t="s">
        <v>113</v>
      </c>
      <c r="D26">
        <v>61</v>
      </c>
    </row>
    <row r="27" spans="1:4" x14ac:dyDescent="0.25">
      <c r="A27" t="s">
        <v>803</v>
      </c>
      <c r="B27" t="s">
        <v>215</v>
      </c>
      <c r="C27" t="s">
        <v>401</v>
      </c>
      <c r="D27">
        <v>56</v>
      </c>
    </row>
    <row r="28" spans="1:4" x14ac:dyDescent="0.25">
      <c r="A28" t="s">
        <v>800</v>
      </c>
      <c r="B28" t="s">
        <v>114</v>
      </c>
      <c r="C28" t="s">
        <v>115</v>
      </c>
      <c r="D28">
        <v>65</v>
      </c>
    </row>
    <row r="29" spans="1:4" x14ac:dyDescent="0.25">
      <c r="A29" t="s">
        <v>797</v>
      </c>
      <c r="B29" t="s">
        <v>117</v>
      </c>
      <c r="C29" t="s">
        <v>118</v>
      </c>
      <c r="D29">
        <v>56</v>
      </c>
    </row>
    <row r="30" spans="1:4" x14ac:dyDescent="0.25">
      <c r="A30" t="s">
        <v>790</v>
      </c>
      <c r="B30" t="s">
        <v>120</v>
      </c>
      <c r="C30" t="s">
        <v>121</v>
      </c>
      <c r="D30">
        <v>64</v>
      </c>
    </row>
    <row r="31" spans="1:4" x14ac:dyDescent="0.25">
      <c r="A31" t="s">
        <v>803</v>
      </c>
      <c r="B31" t="s">
        <v>123</v>
      </c>
      <c r="C31" t="s">
        <v>124</v>
      </c>
      <c r="D31">
        <v>66</v>
      </c>
    </row>
    <row r="32" spans="1:4" x14ac:dyDescent="0.25">
      <c r="A32" t="s">
        <v>803</v>
      </c>
      <c r="B32" t="s">
        <v>351</v>
      </c>
      <c r="C32" t="s">
        <v>406</v>
      </c>
      <c r="D32">
        <v>60</v>
      </c>
    </row>
    <row r="33" spans="1:4" x14ac:dyDescent="0.25">
      <c r="A33" t="s">
        <v>802</v>
      </c>
      <c r="B33" t="s">
        <v>123</v>
      </c>
      <c r="C33" t="s">
        <v>135</v>
      </c>
      <c r="D33">
        <v>63</v>
      </c>
    </row>
    <row r="34" spans="1:4" x14ac:dyDescent="0.25">
      <c r="A34" t="s">
        <v>799</v>
      </c>
      <c r="B34" t="s">
        <v>126</v>
      </c>
      <c r="C34" t="s">
        <v>127</v>
      </c>
      <c r="D34">
        <v>64</v>
      </c>
    </row>
    <row r="35" spans="1:4" x14ac:dyDescent="0.25">
      <c r="A35" t="s">
        <v>802</v>
      </c>
      <c r="B35" t="s">
        <v>120</v>
      </c>
      <c r="C35" t="s">
        <v>408</v>
      </c>
      <c r="D35">
        <v>55</v>
      </c>
    </row>
    <row r="36" spans="1:4" x14ac:dyDescent="0.25">
      <c r="A36" t="s">
        <v>790</v>
      </c>
      <c r="B36" t="s">
        <v>129</v>
      </c>
      <c r="C36" t="s">
        <v>130</v>
      </c>
      <c r="D36">
        <v>61</v>
      </c>
    </row>
    <row r="37" spans="1:4" x14ac:dyDescent="0.25">
      <c r="A37" t="s">
        <v>794</v>
      </c>
      <c r="B37" t="s">
        <v>132</v>
      </c>
      <c r="C37" t="s">
        <v>133</v>
      </c>
      <c r="D37">
        <v>60</v>
      </c>
    </row>
    <row r="38" spans="1:4" x14ac:dyDescent="0.25">
      <c r="A38" t="s">
        <v>802</v>
      </c>
      <c r="B38" t="s">
        <v>399</v>
      </c>
      <c r="C38" t="s">
        <v>170</v>
      </c>
      <c r="D38">
        <v>55</v>
      </c>
    </row>
    <row r="39" spans="1:4" x14ac:dyDescent="0.25">
      <c r="A39" t="s">
        <v>796</v>
      </c>
      <c r="B39" t="s">
        <v>141</v>
      </c>
      <c r="C39" t="s">
        <v>142</v>
      </c>
      <c r="D39">
        <v>68</v>
      </c>
    </row>
    <row r="40" spans="1:4" x14ac:dyDescent="0.25">
      <c r="A40" t="s">
        <v>794</v>
      </c>
      <c r="B40" t="s">
        <v>145</v>
      </c>
      <c r="C40" t="s">
        <v>146</v>
      </c>
      <c r="D40">
        <v>54</v>
      </c>
    </row>
    <row r="41" spans="1:4" x14ac:dyDescent="0.25">
      <c r="A41" t="s">
        <v>793</v>
      </c>
      <c r="B41" t="s">
        <v>54</v>
      </c>
      <c r="C41" t="s">
        <v>148</v>
      </c>
      <c r="D41">
        <v>71</v>
      </c>
    </row>
    <row r="42" spans="1:4" x14ac:dyDescent="0.25">
      <c r="A42" t="s">
        <v>798</v>
      </c>
      <c r="B42" t="s">
        <v>66</v>
      </c>
      <c r="C42" t="s">
        <v>150</v>
      </c>
      <c r="D42">
        <v>60</v>
      </c>
    </row>
    <row r="43" spans="1:4" x14ac:dyDescent="0.25">
      <c r="A43" t="s">
        <v>794</v>
      </c>
      <c r="B43" t="s">
        <v>152</v>
      </c>
      <c r="C43" t="s">
        <v>153</v>
      </c>
      <c r="D43">
        <v>70</v>
      </c>
    </row>
    <row r="44" spans="1:4" x14ac:dyDescent="0.25">
      <c r="A44" t="s">
        <v>796</v>
      </c>
      <c r="B44" t="s">
        <v>155</v>
      </c>
      <c r="C44" t="s">
        <v>156</v>
      </c>
      <c r="D44">
        <v>65</v>
      </c>
    </row>
    <row r="45" spans="1:4" x14ac:dyDescent="0.25">
      <c r="A45" t="s">
        <v>798</v>
      </c>
      <c r="B45" t="s">
        <v>158</v>
      </c>
      <c r="C45" t="s">
        <v>88</v>
      </c>
      <c r="D45">
        <v>67</v>
      </c>
    </row>
    <row r="46" spans="1:4" x14ac:dyDescent="0.25">
      <c r="A46" t="s">
        <v>792</v>
      </c>
      <c r="B46" t="s">
        <v>66</v>
      </c>
      <c r="C46" t="s">
        <v>168</v>
      </c>
      <c r="D46">
        <v>69</v>
      </c>
    </row>
    <row r="47" spans="1:4" x14ac:dyDescent="0.25">
      <c r="A47" t="s">
        <v>791</v>
      </c>
      <c r="B47" t="s">
        <v>160</v>
      </c>
      <c r="C47" t="s">
        <v>161</v>
      </c>
      <c r="D47">
        <v>59</v>
      </c>
    </row>
    <row r="48" spans="1:4" x14ac:dyDescent="0.25">
      <c r="A48" t="s">
        <v>791</v>
      </c>
      <c r="B48" t="s">
        <v>169</v>
      </c>
      <c r="C48" t="s">
        <v>170</v>
      </c>
      <c r="D48">
        <v>62</v>
      </c>
    </row>
    <row r="49" spans="1:4" x14ac:dyDescent="0.25">
      <c r="A49" t="s">
        <v>795</v>
      </c>
      <c r="B49" t="s">
        <v>112</v>
      </c>
      <c r="C49" t="s">
        <v>163</v>
      </c>
      <c r="D49">
        <v>69</v>
      </c>
    </row>
    <row r="50" spans="1:4" x14ac:dyDescent="0.25">
      <c r="A50" t="s">
        <v>796</v>
      </c>
      <c r="B50" t="s">
        <v>165</v>
      </c>
      <c r="C50" t="s">
        <v>166</v>
      </c>
      <c r="D50">
        <v>60</v>
      </c>
    </row>
    <row r="51" spans="1:4" x14ac:dyDescent="0.25">
      <c r="A51" t="s">
        <v>790</v>
      </c>
      <c r="B51" t="s">
        <v>183</v>
      </c>
      <c r="C51" t="s">
        <v>184</v>
      </c>
      <c r="D51">
        <v>67</v>
      </c>
    </row>
    <row r="52" spans="1:4" x14ac:dyDescent="0.25">
      <c r="A52" t="s">
        <v>800</v>
      </c>
      <c r="B52" t="s">
        <v>87</v>
      </c>
      <c r="C52" t="s">
        <v>174</v>
      </c>
      <c r="D52">
        <v>54</v>
      </c>
    </row>
    <row r="53" spans="1:4" x14ac:dyDescent="0.25">
      <c r="A53" t="s">
        <v>791</v>
      </c>
      <c r="B53" t="s">
        <v>90</v>
      </c>
      <c r="C53" t="s">
        <v>175</v>
      </c>
      <c r="D53">
        <v>64</v>
      </c>
    </row>
    <row r="54" spans="1:4" x14ac:dyDescent="0.25">
      <c r="A54" t="s">
        <v>792</v>
      </c>
      <c r="B54" t="s">
        <v>178</v>
      </c>
      <c r="C54" t="s">
        <v>179</v>
      </c>
      <c r="D54">
        <v>58</v>
      </c>
    </row>
    <row r="55" spans="1:4" x14ac:dyDescent="0.25">
      <c r="A55" t="s">
        <v>798</v>
      </c>
      <c r="B55" t="s">
        <v>180</v>
      </c>
      <c r="C55" t="s">
        <v>181</v>
      </c>
      <c r="D55">
        <v>58</v>
      </c>
    </row>
    <row r="56" spans="1:4" x14ac:dyDescent="0.25">
      <c r="A56" t="s">
        <v>792</v>
      </c>
      <c r="B56" t="s">
        <v>123</v>
      </c>
      <c r="C56" t="s">
        <v>186</v>
      </c>
      <c r="D56">
        <v>60</v>
      </c>
    </row>
    <row r="57" spans="1:4" x14ac:dyDescent="0.25">
      <c r="A57" t="s">
        <v>802</v>
      </c>
      <c r="B57" t="s">
        <v>35</v>
      </c>
      <c r="C57" t="s">
        <v>306</v>
      </c>
      <c r="D57">
        <v>65</v>
      </c>
    </row>
    <row r="58" spans="1:4" x14ac:dyDescent="0.25">
      <c r="A58" t="s">
        <v>803</v>
      </c>
      <c r="B58" t="s">
        <v>187</v>
      </c>
      <c r="C58" t="s">
        <v>188</v>
      </c>
      <c r="D58">
        <v>55</v>
      </c>
    </row>
    <row r="59" spans="1:4" x14ac:dyDescent="0.25">
      <c r="A59" t="s">
        <v>794</v>
      </c>
      <c r="B59" t="s">
        <v>169</v>
      </c>
      <c r="C59" t="s">
        <v>172</v>
      </c>
      <c r="D59">
        <v>67</v>
      </c>
    </row>
    <row r="60" spans="1:4" x14ac:dyDescent="0.25">
      <c r="A60" t="s">
        <v>793</v>
      </c>
      <c r="B60" t="s">
        <v>190</v>
      </c>
      <c r="C60" t="s">
        <v>191</v>
      </c>
      <c r="D60">
        <v>54</v>
      </c>
    </row>
    <row r="61" spans="1:4" x14ac:dyDescent="0.25">
      <c r="A61" t="s">
        <v>790</v>
      </c>
      <c r="B61" t="s">
        <v>45</v>
      </c>
      <c r="C61" t="s">
        <v>198</v>
      </c>
      <c r="D61">
        <v>62</v>
      </c>
    </row>
    <row r="62" spans="1:4" x14ac:dyDescent="0.25">
      <c r="A62" t="s">
        <v>800</v>
      </c>
      <c r="B62" t="s">
        <v>126</v>
      </c>
      <c r="C62" t="s">
        <v>194</v>
      </c>
      <c r="D62">
        <v>55</v>
      </c>
    </row>
    <row r="63" spans="1:4" x14ac:dyDescent="0.25">
      <c r="A63" t="s">
        <v>800</v>
      </c>
      <c r="B63" t="s">
        <v>35</v>
      </c>
      <c r="C63" t="s">
        <v>196</v>
      </c>
      <c r="D63">
        <v>59</v>
      </c>
    </row>
    <row r="64" spans="1:4" x14ac:dyDescent="0.25">
      <c r="A64" t="s">
        <v>795</v>
      </c>
      <c r="B64" t="s">
        <v>187</v>
      </c>
      <c r="C64" t="s">
        <v>200</v>
      </c>
      <c r="D64">
        <v>59</v>
      </c>
    </row>
    <row r="65" spans="1:4" x14ac:dyDescent="0.25">
      <c r="A65" t="s">
        <v>799</v>
      </c>
      <c r="B65" t="s">
        <v>35</v>
      </c>
      <c r="C65" t="s">
        <v>202</v>
      </c>
      <c r="D65">
        <v>69</v>
      </c>
    </row>
    <row r="66" spans="1:4" x14ac:dyDescent="0.25">
      <c r="A66" t="s">
        <v>797</v>
      </c>
      <c r="B66" t="s">
        <v>87</v>
      </c>
      <c r="C66" t="s">
        <v>198</v>
      </c>
      <c r="D66">
        <v>53</v>
      </c>
    </row>
    <row r="67" spans="1:4" x14ac:dyDescent="0.25">
      <c r="A67" t="s">
        <v>803</v>
      </c>
      <c r="B67" t="s">
        <v>204</v>
      </c>
      <c r="C67" t="s">
        <v>205</v>
      </c>
      <c r="D67">
        <v>65</v>
      </c>
    </row>
    <row r="68" spans="1:4" x14ac:dyDescent="0.25">
      <c r="A68" t="s">
        <v>803</v>
      </c>
      <c r="B68" t="s">
        <v>114</v>
      </c>
      <c r="C68" t="s">
        <v>207</v>
      </c>
      <c r="D68">
        <v>66</v>
      </c>
    </row>
    <row r="69" spans="1:4" x14ac:dyDescent="0.25">
      <c r="A69" t="s">
        <v>801</v>
      </c>
      <c r="B69" t="s">
        <v>45</v>
      </c>
      <c r="C69" t="s">
        <v>213</v>
      </c>
      <c r="D69">
        <v>62</v>
      </c>
    </row>
    <row r="70" spans="1:4" x14ac:dyDescent="0.25">
      <c r="A70" t="s">
        <v>795</v>
      </c>
      <c r="B70" t="s">
        <v>137</v>
      </c>
      <c r="C70" t="s">
        <v>138</v>
      </c>
      <c r="D70">
        <v>57</v>
      </c>
    </row>
    <row r="71" spans="1:4" x14ac:dyDescent="0.25">
      <c r="A71" t="s">
        <v>791</v>
      </c>
      <c r="B71" t="s">
        <v>208</v>
      </c>
      <c r="C71" t="s">
        <v>209</v>
      </c>
      <c r="D71">
        <v>63</v>
      </c>
    </row>
    <row r="72" spans="1:4" x14ac:dyDescent="0.25">
      <c r="A72" t="s">
        <v>800</v>
      </c>
      <c r="B72" t="s">
        <v>29</v>
      </c>
      <c r="C72" t="s">
        <v>211</v>
      </c>
      <c r="D72">
        <v>61</v>
      </c>
    </row>
    <row r="73" spans="1:4" x14ac:dyDescent="0.25">
      <c r="A73" t="s">
        <v>802</v>
      </c>
      <c r="B73" t="s">
        <v>123</v>
      </c>
      <c r="C73" t="s">
        <v>402</v>
      </c>
      <c r="D73">
        <v>64</v>
      </c>
    </row>
    <row r="74" spans="1:4" x14ac:dyDescent="0.25">
      <c r="A74" t="s">
        <v>797</v>
      </c>
      <c r="B74" t="s">
        <v>215</v>
      </c>
      <c r="C74" t="s">
        <v>216</v>
      </c>
      <c r="D74">
        <v>63</v>
      </c>
    </row>
    <row r="75" spans="1:4" x14ac:dyDescent="0.25">
      <c r="A75" t="s">
        <v>798</v>
      </c>
      <c r="B75" t="s">
        <v>218</v>
      </c>
      <c r="C75" t="s">
        <v>219</v>
      </c>
      <c r="D75">
        <v>65</v>
      </c>
    </row>
    <row r="76" spans="1:4" x14ac:dyDescent="0.25">
      <c r="A76" t="s">
        <v>802</v>
      </c>
      <c r="B76" t="s">
        <v>215</v>
      </c>
      <c r="C76" t="s">
        <v>404</v>
      </c>
      <c r="D76">
        <v>61</v>
      </c>
    </row>
    <row r="77" spans="1:4" x14ac:dyDescent="0.25">
      <c r="A77" t="s">
        <v>793</v>
      </c>
      <c r="B77" t="s">
        <v>221</v>
      </c>
      <c r="C77" t="s">
        <v>222</v>
      </c>
      <c r="D77">
        <v>56</v>
      </c>
    </row>
    <row r="78" spans="1:4" x14ac:dyDescent="0.25">
      <c r="A78" t="s">
        <v>801</v>
      </c>
      <c r="B78" t="s">
        <v>66</v>
      </c>
      <c r="C78" t="s">
        <v>236</v>
      </c>
      <c r="D78">
        <v>69</v>
      </c>
    </row>
    <row r="79" spans="1:4" x14ac:dyDescent="0.25">
      <c r="A79" t="s">
        <v>800</v>
      </c>
      <c r="B79" t="s">
        <v>54</v>
      </c>
      <c r="C79" t="s">
        <v>223</v>
      </c>
      <c r="D79">
        <v>72</v>
      </c>
    </row>
    <row r="80" spans="1:4" x14ac:dyDescent="0.25">
      <c r="A80" t="s">
        <v>795</v>
      </c>
      <c r="B80" t="s">
        <v>158</v>
      </c>
      <c r="C80" t="s">
        <v>395</v>
      </c>
      <c r="D80">
        <v>60</v>
      </c>
    </row>
    <row r="81" spans="1:4" x14ac:dyDescent="0.25">
      <c r="A81" t="s">
        <v>802</v>
      </c>
      <c r="B81" t="s">
        <v>225</v>
      </c>
      <c r="C81" t="s">
        <v>226</v>
      </c>
      <c r="D81">
        <v>63</v>
      </c>
    </row>
    <row r="82" spans="1:4" x14ac:dyDescent="0.25">
      <c r="A82" t="s">
        <v>797</v>
      </c>
      <c r="B82" t="s">
        <v>158</v>
      </c>
      <c r="C82" t="s">
        <v>227</v>
      </c>
      <c r="D82">
        <v>55</v>
      </c>
    </row>
    <row r="83" spans="1:4" x14ac:dyDescent="0.25">
      <c r="A83" t="s">
        <v>801</v>
      </c>
      <c r="B83" t="s">
        <v>51</v>
      </c>
      <c r="C83" t="s">
        <v>228</v>
      </c>
      <c r="D83">
        <v>64</v>
      </c>
    </row>
    <row r="84" spans="1:4" x14ac:dyDescent="0.25">
      <c r="A84" t="s">
        <v>798</v>
      </c>
      <c r="B84" t="s">
        <v>230</v>
      </c>
      <c r="C84" t="s">
        <v>231</v>
      </c>
      <c r="D84">
        <v>62</v>
      </c>
    </row>
    <row r="85" spans="1:4" x14ac:dyDescent="0.25">
      <c r="A85" t="s">
        <v>791</v>
      </c>
      <c r="B85" t="s">
        <v>233</v>
      </c>
      <c r="C85" t="s">
        <v>234</v>
      </c>
      <c r="D85">
        <v>59</v>
      </c>
    </row>
    <row r="86" spans="1:4" x14ac:dyDescent="0.25">
      <c r="A86" t="s">
        <v>799</v>
      </c>
      <c r="B86" t="s">
        <v>112</v>
      </c>
      <c r="C86" t="s">
        <v>238</v>
      </c>
      <c r="D86">
        <v>56</v>
      </c>
    </row>
    <row r="87" spans="1:4" x14ac:dyDescent="0.25">
      <c r="A87" t="s">
        <v>796</v>
      </c>
      <c r="B87" t="s">
        <v>248</v>
      </c>
      <c r="C87" t="s">
        <v>249</v>
      </c>
      <c r="D87">
        <v>63</v>
      </c>
    </row>
    <row r="88" spans="1:4" x14ac:dyDescent="0.25">
      <c r="A88" t="s">
        <v>801</v>
      </c>
      <c r="B88" t="s">
        <v>137</v>
      </c>
      <c r="C88" t="s">
        <v>239</v>
      </c>
      <c r="D88">
        <v>55</v>
      </c>
    </row>
    <row r="89" spans="1:4" x14ac:dyDescent="0.25">
      <c r="A89" t="s">
        <v>791</v>
      </c>
      <c r="B89" t="s">
        <v>104</v>
      </c>
      <c r="C89" t="s">
        <v>240</v>
      </c>
      <c r="D89">
        <v>60</v>
      </c>
    </row>
    <row r="90" spans="1:4" x14ac:dyDescent="0.25">
      <c r="A90" t="s">
        <v>800</v>
      </c>
      <c r="B90" t="s">
        <v>245</v>
      </c>
      <c r="C90" t="s">
        <v>246</v>
      </c>
      <c r="D90">
        <v>67</v>
      </c>
    </row>
    <row r="91" spans="1:4" x14ac:dyDescent="0.25">
      <c r="A91" t="s">
        <v>794</v>
      </c>
      <c r="B91" t="s">
        <v>46</v>
      </c>
      <c r="C91" t="s">
        <v>255</v>
      </c>
      <c r="D91">
        <v>70</v>
      </c>
    </row>
    <row r="92" spans="1:4" x14ac:dyDescent="0.25">
      <c r="A92" t="s">
        <v>796</v>
      </c>
      <c r="B92" t="s">
        <v>215</v>
      </c>
      <c r="C92" t="s">
        <v>257</v>
      </c>
      <c r="D92">
        <v>70</v>
      </c>
    </row>
    <row r="93" spans="1:4" x14ac:dyDescent="0.25">
      <c r="A93" t="s">
        <v>801</v>
      </c>
      <c r="B93" t="s">
        <v>258</v>
      </c>
      <c r="C93" t="s">
        <v>259</v>
      </c>
      <c r="D93">
        <v>59</v>
      </c>
    </row>
    <row r="94" spans="1:4" x14ac:dyDescent="0.25">
      <c r="A94" t="s">
        <v>794</v>
      </c>
      <c r="B94" t="s">
        <v>158</v>
      </c>
      <c r="C94" t="s">
        <v>263</v>
      </c>
      <c r="D94">
        <v>62</v>
      </c>
    </row>
    <row r="95" spans="1:4" x14ac:dyDescent="0.25">
      <c r="A95" t="s">
        <v>798</v>
      </c>
      <c r="B95" t="s">
        <v>265</v>
      </c>
      <c r="C95" t="s">
        <v>266</v>
      </c>
      <c r="D95">
        <v>72</v>
      </c>
    </row>
    <row r="96" spans="1:4" x14ac:dyDescent="0.25">
      <c r="A96" t="s">
        <v>792</v>
      </c>
      <c r="B96" t="s">
        <v>261</v>
      </c>
      <c r="C96" t="s">
        <v>262</v>
      </c>
      <c r="D96">
        <v>72</v>
      </c>
    </row>
    <row r="97" spans="1:4" x14ac:dyDescent="0.25">
      <c r="A97" t="s">
        <v>792</v>
      </c>
      <c r="B97" t="s">
        <v>241</v>
      </c>
      <c r="C97" t="s">
        <v>242</v>
      </c>
      <c r="D97">
        <v>62</v>
      </c>
    </row>
    <row r="98" spans="1:4" x14ac:dyDescent="0.25">
      <c r="A98" t="s">
        <v>801</v>
      </c>
      <c r="B98" t="s">
        <v>112</v>
      </c>
      <c r="C98" t="s">
        <v>270</v>
      </c>
      <c r="D98">
        <v>60</v>
      </c>
    </row>
    <row r="99" spans="1:4" x14ac:dyDescent="0.25">
      <c r="A99" t="s">
        <v>790</v>
      </c>
      <c r="B99" t="s">
        <v>29</v>
      </c>
      <c r="C99" t="s">
        <v>267</v>
      </c>
      <c r="D99">
        <v>67</v>
      </c>
    </row>
    <row r="100" spans="1:4" x14ac:dyDescent="0.25">
      <c r="A100" t="s">
        <v>796</v>
      </c>
      <c r="B100" t="s">
        <v>98</v>
      </c>
      <c r="C100" t="s">
        <v>285</v>
      </c>
      <c r="D100">
        <v>65</v>
      </c>
    </row>
    <row r="101" spans="1:4" x14ac:dyDescent="0.25">
      <c r="A101" t="s">
        <v>791</v>
      </c>
      <c r="B101" t="s">
        <v>120</v>
      </c>
      <c r="C101" t="s">
        <v>411</v>
      </c>
      <c r="D101">
        <v>62</v>
      </c>
    </row>
    <row r="102" spans="1:4" x14ac:dyDescent="0.25">
      <c r="A102" t="s">
        <v>800</v>
      </c>
      <c r="B102" t="s">
        <v>66</v>
      </c>
      <c r="C102" t="s">
        <v>272</v>
      </c>
      <c r="D102">
        <v>67</v>
      </c>
    </row>
    <row r="103" spans="1:4" x14ac:dyDescent="0.25">
      <c r="A103" t="s">
        <v>798</v>
      </c>
      <c r="B103" t="s">
        <v>273</v>
      </c>
      <c r="C103" t="s">
        <v>274</v>
      </c>
      <c r="D103">
        <v>63</v>
      </c>
    </row>
    <row r="104" spans="1:4" x14ac:dyDescent="0.25">
      <c r="A104" t="s">
        <v>795</v>
      </c>
      <c r="B104" t="s">
        <v>169</v>
      </c>
      <c r="C104" t="s">
        <v>280</v>
      </c>
      <c r="D104">
        <v>60</v>
      </c>
    </row>
    <row r="105" spans="1:4" x14ac:dyDescent="0.25">
      <c r="A105" t="s">
        <v>796</v>
      </c>
      <c r="B105" t="s">
        <v>276</v>
      </c>
      <c r="C105" t="s">
        <v>277</v>
      </c>
      <c r="D105">
        <v>69</v>
      </c>
    </row>
    <row r="106" spans="1:4" x14ac:dyDescent="0.25">
      <c r="A106" t="s">
        <v>797</v>
      </c>
      <c r="B106" t="s">
        <v>45</v>
      </c>
      <c r="C106" t="s">
        <v>278</v>
      </c>
      <c r="D106">
        <v>65</v>
      </c>
    </row>
    <row r="107" spans="1:4" x14ac:dyDescent="0.25">
      <c r="A107" t="s">
        <v>790</v>
      </c>
      <c r="B107" t="s">
        <v>282</v>
      </c>
      <c r="C107" t="s">
        <v>283</v>
      </c>
      <c r="D107">
        <v>53</v>
      </c>
    </row>
    <row r="108" spans="1:4" x14ac:dyDescent="0.25">
      <c r="A108" t="s">
        <v>790</v>
      </c>
      <c r="B108" t="s">
        <v>294</v>
      </c>
      <c r="C108" t="s">
        <v>295</v>
      </c>
      <c r="D108">
        <v>69</v>
      </c>
    </row>
    <row r="109" spans="1:4" x14ac:dyDescent="0.25">
      <c r="A109" t="s">
        <v>797</v>
      </c>
      <c r="B109" t="s">
        <v>286</v>
      </c>
      <c r="C109" t="s">
        <v>287</v>
      </c>
      <c r="D109">
        <v>70</v>
      </c>
    </row>
    <row r="110" spans="1:4" x14ac:dyDescent="0.25">
      <c r="A110" t="s">
        <v>793</v>
      </c>
      <c r="B110" t="s">
        <v>289</v>
      </c>
      <c r="C110" t="s">
        <v>290</v>
      </c>
      <c r="D110">
        <v>73</v>
      </c>
    </row>
    <row r="111" spans="1:4" x14ac:dyDescent="0.25">
      <c r="A111" t="s">
        <v>792</v>
      </c>
      <c r="B111" t="s">
        <v>292</v>
      </c>
      <c r="C111" t="s">
        <v>293</v>
      </c>
      <c r="D111">
        <v>66</v>
      </c>
    </row>
    <row r="112" spans="1:4" x14ac:dyDescent="0.25">
      <c r="A112" t="s">
        <v>795</v>
      </c>
      <c r="B112" t="s">
        <v>69</v>
      </c>
      <c r="C112" t="s">
        <v>298</v>
      </c>
      <c r="D112">
        <v>60</v>
      </c>
    </row>
    <row r="113" spans="1:4" x14ac:dyDescent="0.25">
      <c r="A113" t="s">
        <v>801</v>
      </c>
      <c r="B113" t="s">
        <v>276</v>
      </c>
      <c r="C113" t="s">
        <v>304</v>
      </c>
      <c r="D113">
        <v>78</v>
      </c>
    </row>
    <row r="114" spans="1:4" x14ac:dyDescent="0.25">
      <c r="A114" t="s">
        <v>796</v>
      </c>
      <c r="B114" t="s">
        <v>169</v>
      </c>
      <c r="C114" t="s">
        <v>300</v>
      </c>
      <c r="D114">
        <v>66</v>
      </c>
    </row>
    <row r="115" spans="1:4" x14ac:dyDescent="0.25">
      <c r="A115" t="s">
        <v>799</v>
      </c>
      <c r="B115" t="s">
        <v>45</v>
      </c>
      <c r="C115" t="s">
        <v>397</v>
      </c>
      <c r="D115">
        <v>60</v>
      </c>
    </row>
    <row r="116" spans="1:4" x14ac:dyDescent="0.25">
      <c r="A116" t="s">
        <v>795</v>
      </c>
      <c r="B116" t="s">
        <v>90</v>
      </c>
      <c r="C116" t="s">
        <v>302</v>
      </c>
      <c r="D116">
        <v>64</v>
      </c>
    </row>
    <row r="117" spans="1:4" x14ac:dyDescent="0.25">
      <c r="A117" t="s">
        <v>797</v>
      </c>
      <c r="B117" t="s">
        <v>294</v>
      </c>
      <c r="C117" t="s">
        <v>303</v>
      </c>
      <c r="D117">
        <v>65</v>
      </c>
    </row>
    <row r="118" spans="1:4" x14ac:dyDescent="0.25">
      <c r="A118" t="s">
        <v>799</v>
      </c>
      <c r="B118" t="s">
        <v>90</v>
      </c>
      <c r="C118" t="s">
        <v>307</v>
      </c>
      <c r="D118">
        <v>70</v>
      </c>
    </row>
    <row r="119" spans="1:4" x14ac:dyDescent="0.25">
      <c r="A119" t="s">
        <v>798</v>
      </c>
      <c r="B119" t="s">
        <v>289</v>
      </c>
      <c r="C119" t="s">
        <v>306</v>
      </c>
      <c r="D119">
        <v>65</v>
      </c>
    </row>
    <row r="120" spans="1:4" x14ac:dyDescent="0.25">
      <c r="A120" t="s">
        <v>791</v>
      </c>
      <c r="B120" t="s">
        <v>187</v>
      </c>
      <c r="C120" t="s">
        <v>309</v>
      </c>
      <c r="D120">
        <v>69</v>
      </c>
    </row>
    <row r="121" spans="1:4" x14ac:dyDescent="0.25">
      <c r="A121" t="s">
        <v>790</v>
      </c>
      <c r="B121" t="s">
        <v>141</v>
      </c>
      <c r="C121" t="s">
        <v>312</v>
      </c>
      <c r="D121">
        <v>61</v>
      </c>
    </row>
    <row r="122" spans="1:4" x14ac:dyDescent="0.25">
      <c r="A122" t="s">
        <v>797</v>
      </c>
      <c r="B122" t="s">
        <v>313</v>
      </c>
      <c r="C122" t="s">
        <v>314</v>
      </c>
      <c r="D122">
        <v>62</v>
      </c>
    </row>
    <row r="123" spans="1:4" x14ac:dyDescent="0.25">
      <c r="A123" t="s">
        <v>794</v>
      </c>
      <c r="B123" t="s">
        <v>190</v>
      </c>
      <c r="C123" t="s">
        <v>315</v>
      </c>
      <c r="D123">
        <v>57</v>
      </c>
    </row>
    <row r="124" spans="1:4" x14ac:dyDescent="0.25">
      <c r="A124" t="s">
        <v>803</v>
      </c>
      <c r="B124" t="s">
        <v>98</v>
      </c>
      <c r="C124" t="s">
        <v>318</v>
      </c>
      <c r="D124">
        <v>70</v>
      </c>
    </row>
    <row r="125" spans="1:4" x14ac:dyDescent="0.25">
      <c r="A125" t="s">
        <v>793</v>
      </c>
      <c r="B125" t="s">
        <v>51</v>
      </c>
      <c r="C125" t="s">
        <v>319</v>
      </c>
      <c r="D125">
        <v>50</v>
      </c>
    </row>
    <row r="126" spans="1:4" x14ac:dyDescent="0.25">
      <c r="A126" t="s">
        <v>799</v>
      </c>
      <c r="B126" t="s">
        <v>126</v>
      </c>
      <c r="C126" t="s">
        <v>320</v>
      </c>
      <c r="D126">
        <v>71</v>
      </c>
    </row>
    <row r="127" spans="1:4" x14ac:dyDescent="0.25">
      <c r="A127" t="s">
        <v>790</v>
      </c>
      <c r="B127" t="s">
        <v>252</v>
      </c>
      <c r="C127" t="s">
        <v>321</v>
      </c>
      <c r="D127">
        <v>65</v>
      </c>
    </row>
    <row r="128" spans="1:4" x14ac:dyDescent="0.25">
      <c r="A128" t="s">
        <v>800</v>
      </c>
      <c r="B128" t="s">
        <v>328</v>
      </c>
      <c r="C128" t="s">
        <v>329</v>
      </c>
      <c r="D128">
        <v>69</v>
      </c>
    </row>
    <row r="129" spans="1:4" x14ac:dyDescent="0.25">
      <c r="A129" t="s">
        <v>799</v>
      </c>
      <c r="B129" t="s">
        <v>98</v>
      </c>
      <c r="C129" t="s">
        <v>323</v>
      </c>
      <c r="D129">
        <v>65</v>
      </c>
    </row>
    <row r="130" spans="1:4" x14ac:dyDescent="0.25">
      <c r="A130" t="s">
        <v>793</v>
      </c>
      <c r="B130" t="s">
        <v>98</v>
      </c>
      <c r="C130" t="s">
        <v>325</v>
      </c>
      <c r="D130">
        <v>70</v>
      </c>
    </row>
    <row r="131" spans="1:4" x14ac:dyDescent="0.25">
      <c r="A131" t="s">
        <v>799</v>
      </c>
      <c r="B131" t="s">
        <v>326</v>
      </c>
      <c r="C131" t="s">
        <v>327</v>
      </c>
      <c r="D131">
        <v>79</v>
      </c>
    </row>
    <row r="132" spans="1:4" x14ac:dyDescent="0.25">
      <c r="A132" t="s">
        <v>800</v>
      </c>
      <c r="B132" t="s">
        <v>35</v>
      </c>
      <c r="C132" t="s">
        <v>331</v>
      </c>
      <c r="D132">
        <v>63</v>
      </c>
    </row>
    <row r="133" spans="1:4" x14ac:dyDescent="0.25">
      <c r="A133" t="s">
        <v>801</v>
      </c>
      <c r="B133" t="s">
        <v>29</v>
      </c>
      <c r="C133" t="s">
        <v>332</v>
      </c>
      <c r="D133">
        <v>62</v>
      </c>
    </row>
    <row r="134" spans="1:4" x14ac:dyDescent="0.25">
      <c r="A134" t="s">
        <v>798</v>
      </c>
      <c r="B134" t="s">
        <v>35</v>
      </c>
      <c r="C134" t="s">
        <v>334</v>
      </c>
      <c r="D134">
        <v>59</v>
      </c>
    </row>
    <row r="135" spans="1:4" x14ac:dyDescent="0.25">
      <c r="A135" t="s">
        <v>798</v>
      </c>
      <c r="B135" t="s">
        <v>58</v>
      </c>
      <c r="C135" t="s">
        <v>335</v>
      </c>
      <c r="D135">
        <v>59</v>
      </c>
    </row>
    <row r="136" spans="1:4" x14ac:dyDescent="0.25">
      <c r="A136" t="e" vm="1">
        <v>#VALUE!</v>
      </c>
      <c r="B136" t="s">
        <v>336</v>
      </c>
      <c r="C136" t="s">
        <v>337</v>
      </c>
      <c r="D136">
        <v>70</v>
      </c>
    </row>
    <row r="137" spans="1:4" x14ac:dyDescent="0.25">
      <c r="A137" t="s">
        <v>795</v>
      </c>
      <c r="B137" t="s">
        <v>339</v>
      </c>
      <c r="C137" t="s">
        <v>340</v>
      </c>
      <c r="D137">
        <v>60</v>
      </c>
    </row>
    <row r="138" spans="1:4" x14ac:dyDescent="0.25">
      <c r="A138" t="s">
        <v>799</v>
      </c>
      <c r="B138" t="s">
        <v>342</v>
      </c>
      <c r="C138" t="s">
        <v>274</v>
      </c>
      <c r="D138">
        <v>64</v>
      </c>
    </row>
    <row r="139" spans="1:4" x14ac:dyDescent="0.25">
      <c r="A139" t="s">
        <v>802</v>
      </c>
      <c r="B139" t="s">
        <v>183</v>
      </c>
      <c r="C139" t="s">
        <v>353</v>
      </c>
      <c r="D139">
        <v>64</v>
      </c>
    </row>
    <row r="140" spans="1:4" x14ac:dyDescent="0.25">
      <c r="A140" t="s">
        <v>793</v>
      </c>
      <c r="B140" t="s">
        <v>218</v>
      </c>
      <c r="C140" t="s">
        <v>343</v>
      </c>
      <c r="D140">
        <v>76</v>
      </c>
    </row>
    <row r="141" spans="1:4" x14ac:dyDescent="0.25">
      <c r="A141" t="s">
        <v>793</v>
      </c>
      <c r="B141" t="s">
        <v>54</v>
      </c>
      <c r="C141" t="s">
        <v>355</v>
      </c>
      <c r="D141">
        <v>80</v>
      </c>
    </row>
    <row r="142" spans="1:4" x14ac:dyDescent="0.25">
      <c r="A142" t="s">
        <v>797</v>
      </c>
      <c r="B142" t="s">
        <v>345</v>
      </c>
      <c r="C142" t="s">
        <v>346</v>
      </c>
      <c r="D142">
        <v>67</v>
      </c>
    </row>
    <row r="143" spans="1:4" x14ac:dyDescent="0.25">
      <c r="A143" t="s">
        <v>798</v>
      </c>
      <c r="B143" t="s">
        <v>104</v>
      </c>
      <c r="C143" t="s">
        <v>347</v>
      </c>
      <c r="D143">
        <v>69</v>
      </c>
    </row>
    <row r="144" spans="1:4" x14ac:dyDescent="0.25">
      <c r="A144" t="s">
        <v>802</v>
      </c>
      <c r="B144" t="s">
        <v>282</v>
      </c>
      <c r="C144" t="s">
        <v>349</v>
      </c>
      <c r="D144">
        <v>67</v>
      </c>
    </row>
    <row r="145" spans="1:4" x14ac:dyDescent="0.25">
      <c r="A145" t="s">
        <v>790</v>
      </c>
      <c r="B145" t="s">
        <v>351</v>
      </c>
      <c r="C145" t="s">
        <v>352</v>
      </c>
      <c r="D145">
        <v>68</v>
      </c>
    </row>
    <row r="146" spans="1:4" x14ac:dyDescent="0.25">
      <c r="A146" t="s">
        <v>791</v>
      </c>
      <c r="B146" t="s">
        <v>357</v>
      </c>
      <c r="C146" t="s">
        <v>358</v>
      </c>
      <c r="D146">
        <v>69</v>
      </c>
    </row>
    <row r="147" spans="1:4" x14ac:dyDescent="0.25">
      <c r="A147" t="s">
        <v>794</v>
      </c>
      <c r="B147" t="s">
        <v>218</v>
      </c>
      <c r="C147" t="s">
        <v>360</v>
      </c>
      <c r="D147">
        <v>68</v>
      </c>
    </row>
    <row r="148" spans="1:4" x14ac:dyDescent="0.25">
      <c r="A148" t="s">
        <v>792</v>
      </c>
      <c r="B148" t="s">
        <v>187</v>
      </c>
      <c r="C148" t="s">
        <v>361</v>
      </c>
      <c r="D148">
        <v>61</v>
      </c>
    </row>
    <row r="149" spans="1:4" x14ac:dyDescent="0.25">
      <c r="A149" t="s">
        <v>803</v>
      </c>
      <c r="B149" t="s">
        <v>362</v>
      </c>
      <c r="C149" t="s">
        <v>363</v>
      </c>
      <c r="D149">
        <v>75</v>
      </c>
    </row>
    <row r="150" spans="1:4" x14ac:dyDescent="0.25">
      <c r="A150" t="s">
        <v>803</v>
      </c>
      <c r="B150" t="s">
        <v>369</v>
      </c>
      <c r="C150" t="s">
        <v>370</v>
      </c>
      <c r="D150">
        <v>72</v>
      </c>
    </row>
    <row r="151" spans="1:4" x14ac:dyDescent="0.25">
      <c r="A151" t="e" vm="1">
        <v>#VALUE!</v>
      </c>
      <c r="B151" t="s">
        <v>365</v>
      </c>
      <c r="C151" t="s">
        <v>366</v>
      </c>
      <c r="D151">
        <v>69</v>
      </c>
    </row>
    <row r="152" spans="1:4" x14ac:dyDescent="0.25">
      <c r="A152" t="e" vm="1">
        <v>#VALUE!</v>
      </c>
      <c r="B152" t="s">
        <v>367</v>
      </c>
      <c r="C152" t="s">
        <v>368</v>
      </c>
      <c r="D152">
        <v>67</v>
      </c>
    </row>
    <row r="153" spans="1:4" x14ac:dyDescent="0.25">
      <c r="A153" t="s">
        <v>803</v>
      </c>
      <c r="B153" t="s">
        <v>215</v>
      </c>
      <c r="C153" t="s">
        <v>374</v>
      </c>
      <c r="D153">
        <v>72</v>
      </c>
    </row>
    <row r="154" spans="1:4" x14ac:dyDescent="0.25">
      <c r="A154" t="e" vm="1">
        <v>#VALUE!</v>
      </c>
      <c r="B154" t="s">
        <v>98</v>
      </c>
      <c r="C154" t="s">
        <v>372</v>
      </c>
      <c r="D154">
        <v>69</v>
      </c>
    </row>
    <row r="155" spans="1:4" x14ac:dyDescent="0.25">
      <c r="A155" t="s">
        <v>792</v>
      </c>
      <c r="B155" t="s">
        <v>376</v>
      </c>
      <c r="C155" t="s">
        <v>377</v>
      </c>
      <c r="D155">
        <v>65</v>
      </c>
    </row>
    <row r="156" spans="1:4" x14ac:dyDescent="0.25">
      <c r="A156" t="e" vm="1">
        <v>#VALUE!</v>
      </c>
      <c r="B156" t="s">
        <v>126</v>
      </c>
      <c r="C156" t="s">
        <v>379</v>
      </c>
      <c r="D156">
        <v>67</v>
      </c>
    </row>
    <row r="157" spans="1:4" x14ac:dyDescent="0.25">
      <c r="A157" t="s">
        <v>796</v>
      </c>
      <c r="B157" t="s">
        <v>289</v>
      </c>
      <c r="C157" t="s">
        <v>384</v>
      </c>
      <c r="D157">
        <v>65</v>
      </c>
    </row>
    <row r="158" spans="1:4" x14ac:dyDescent="0.25">
      <c r="A158" t="e" vm="1">
        <v>#VALUE!</v>
      </c>
      <c r="B158" t="s">
        <v>339</v>
      </c>
      <c r="C158" t="s">
        <v>381</v>
      </c>
      <c r="D158">
        <v>76</v>
      </c>
    </row>
    <row r="159" spans="1:4" x14ac:dyDescent="0.25">
      <c r="A159" t="e" vm="1">
        <v>#VALUE!</v>
      </c>
      <c r="B159" t="s">
        <v>187</v>
      </c>
      <c r="C159" t="s">
        <v>383</v>
      </c>
      <c r="D159">
        <v>69</v>
      </c>
    </row>
    <row r="160" spans="1:4" x14ac:dyDescent="0.25">
      <c r="A160" t="e" vm="1">
        <v>#VALUE!</v>
      </c>
      <c r="B160" t="s">
        <v>58</v>
      </c>
      <c r="C160" t="s">
        <v>386</v>
      </c>
      <c r="D160">
        <v>68</v>
      </c>
    </row>
    <row r="161" spans="1:4" x14ac:dyDescent="0.25">
      <c r="A161" t="e" vm="1">
        <v>#VALUE!</v>
      </c>
      <c r="B161" t="s">
        <v>388</v>
      </c>
      <c r="C161" t="s">
        <v>389</v>
      </c>
      <c r="D161">
        <v>67</v>
      </c>
    </row>
    <row r="162" spans="1:4" x14ac:dyDescent="0.25">
      <c r="A162" t="e" vm="1">
        <v>#VALUE!</v>
      </c>
      <c r="B162" t="s">
        <v>390</v>
      </c>
      <c r="C162" t="s">
        <v>391</v>
      </c>
      <c r="D162">
        <v>78</v>
      </c>
    </row>
    <row r="163" spans="1:4" x14ac:dyDescent="0.25">
      <c r="A163" t="s">
        <v>795</v>
      </c>
      <c r="B163" t="s">
        <v>123</v>
      </c>
      <c r="C163" t="s">
        <v>392</v>
      </c>
      <c r="D163">
        <v>74</v>
      </c>
    </row>
    <row r="164" spans="1:4" x14ac:dyDescent="0.25">
      <c r="A164" t="s">
        <v>801</v>
      </c>
      <c r="B164" t="s">
        <v>282</v>
      </c>
      <c r="C164" t="s">
        <v>394</v>
      </c>
      <c r="D164">
        <v>57</v>
      </c>
    </row>
    <row r="165" spans="1:4" x14ac:dyDescent="0.25">
      <c r="A165" t="s">
        <v>794</v>
      </c>
      <c r="B165" t="s">
        <v>252</v>
      </c>
      <c r="C165" t="s">
        <v>253</v>
      </c>
      <c r="D165">
        <v>64</v>
      </c>
    </row>
  </sheetData>
  <sortState xmlns:xlrd2="http://schemas.microsoft.com/office/spreadsheetml/2017/richdata2" ref="I2:L15">
    <sortCondition ref="K2:K15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84FED-B2BC-46D9-8DA4-38F537BC1789}">
  <dimension ref="A1:N29"/>
  <sheetViews>
    <sheetView topLeftCell="A7" workbookViewId="0">
      <selection activeCell="A10" sqref="A10"/>
    </sheetView>
  </sheetViews>
  <sheetFormatPr defaultRowHeight="15" x14ac:dyDescent="0.25"/>
  <cols>
    <col min="1" max="1" width="15.7109375" bestFit="1" customWidth="1"/>
    <col min="2" max="2" width="17.42578125" bestFit="1" customWidth="1"/>
    <col min="3" max="3" width="17.7109375" bestFit="1" customWidth="1"/>
    <col min="4" max="4" width="16.5703125" bestFit="1" customWidth="1"/>
    <col min="5" max="5" width="19.5703125" bestFit="1" customWidth="1"/>
    <col min="6" max="6" width="17.42578125" bestFit="1" customWidth="1"/>
    <col min="7" max="7" width="18.140625" bestFit="1" customWidth="1"/>
    <col min="8" max="8" width="15.5703125" bestFit="1" customWidth="1"/>
    <col min="9" max="9" width="17.7109375" bestFit="1" customWidth="1"/>
    <col min="10" max="10" width="16.85546875" bestFit="1" customWidth="1"/>
    <col min="11" max="11" width="17.7109375" bestFit="1" customWidth="1"/>
    <col min="12" max="12" width="13.85546875" bestFit="1" customWidth="1"/>
    <col min="13" max="13" width="14.85546875" bestFit="1" customWidth="1"/>
    <col min="14" max="14" width="14.5703125" bestFit="1" customWidth="1"/>
  </cols>
  <sheetData>
    <row r="1" spans="1:14" s="9" customFormat="1" x14ac:dyDescent="0.25">
      <c r="A1" s="9" t="s">
        <v>790</v>
      </c>
      <c r="B1" s="9" t="s">
        <v>791</v>
      </c>
      <c r="C1" s="9" t="s">
        <v>792</v>
      </c>
      <c r="D1" s="9" t="s">
        <v>793</v>
      </c>
      <c r="E1" s="9" t="s">
        <v>794</v>
      </c>
      <c r="F1" s="9" t="s">
        <v>795</v>
      </c>
      <c r="G1" s="9" t="s">
        <v>796</v>
      </c>
      <c r="H1" s="9" t="s">
        <v>797</v>
      </c>
      <c r="I1" s="9" t="s">
        <v>798</v>
      </c>
      <c r="J1" s="9" t="s">
        <v>799</v>
      </c>
      <c r="K1" s="9" t="s">
        <v>800</v>
      </c>
      <c r="L1" s="9" t="s">
        <v>801</v>
      </c>
      <c r="M1" s="9" t="s">
        <v>802</v>
      </c>
      <c r="N1" s="9" t="s">
        <v>803</v>
      </c>
    </row>
    <row r="2" spans="1:14" x14ac:dyDescent="0.25">
      <c r="A2" t="s">
        <v>804</v>
      </c>
      <c r="B2" t="s">
        <v>805</v>
      </c>
      <c r="C2" t="s">
        <v>806</v>
      </c>
      <c r="D2" t="s">
        <v>807</v>
      </c>
      <c r="E2" t="s">
        <v>808</v>
      </c>
      <c r="F2" t="s">
        <v>809</v>
      </c>
      <c r="G2" t="s">
        <v>810</v>
      </c>
      <c r="H2" t="s">
        <v>811</v>
      </c>
      <c r="I2" t="s">
        <v>812</v>
      </c>
      <c r="J2" t="s">
        <v>813</v>
      </c>
      <c r="K2" t="s">
        <v>814</v>
      </c>
      <c r="L2" t="s">
        <v>815</v>
      </c>
      <c r="M2" t="s">
        <v>816</v>
      </c>
      <c r="N2" t="s">
        <v>817</v>
      </c>
    </row>
    <row r="3" spans="1:14" x14ac:dyDescent="0.25">
      <c r="A3" t="s">
        <v>818</v>
      </c>
      <c r="B3" t="s">
        <v>819</v>
      </c>
      <c r="C3" s="8" t="s">
        <v>948</v>
      </c>
      <c r="D3" t="s">
        <v>820</v>
      </c>
      <c r="E3" t="s">
        <v>821</v>
      </c>
      <c r="F3" t="s">
        <v>822</v>
      </c>
      <c r="G3" t="s">
        <v>823</v>
      </c>
      <c r="H3" s="11" t="s">
        <v>824</v>
      </c>
      <c r="I3" t="s">
        <v>825</v>
      </c>
      <c r="J3" t="s">
        <v>826</v>
      </c>
      <c r="K3" t="s">
        <v>827</v>
      </c>
      <c r="L3" t="s">
        <v>828</v>
      </c>
      <c r="M3" t="s">
        <v>829</v>
      </c>
      <c r="N3" t="s">
        <v>830</v>
      </c>
    </row>
    <row r="4" spans="1:14" x14ac:dyDescent="0.25">
      <c r="A4" t="s">
        <v>831</v>
      </c>
      <c r="B4" t="s">
        <v>832</v>
      </c>
      <c r="C4" t="s">
        <v>833</v>
      </c>
      <c r="D4" t="s">
        <v>834</v>
      </c>
      <c r="E4" t="s">
        <v>835</v>
      </c>
      <c r="F4" t="s">
        <v>836</v>
      </c>
      <c r="G4" t="s">
        <v>837</v>
      </c>
      <c r="H4" t="s">
        <v>838</v>
      </c>
      <c r="I4" t="s">
        <v>839</v>
      </c>
      <c r="J4" t="s">
        <v>840</v>
      </c>
      <c r="K4" t="s">
        <v>841</v>
      </c>
      <c r="L4" t="s">
        <v>842</v>
      </c>
      <c r="M4" t="s">
        <v>843</v>
      </c>
      <c r="N4" t="s">
        <v>844</v>
      </c>
    </row>
    <row r="5" spans="1:14" x14ac:dyDescent="0.25">
      <c r="A5" t="s">
        <v>845</v>
      </c>
      <c r="B5" t="s">
        <v>846</v>
      </c>
      <c r="C5" t="s">
        <v>847</v>
      </c>
      <c r="D5" t="s">
        <v>848</v>
      </c>
      <c r="E5" s="8" t="s">
        <v>950</v>
      </c>
      <c r="F5" t="s">
        <v>849</v>
      </c>
      <c r="G5" s="8" t="s">
        <v>951</v>
      </c>
      <c r="H5" s="8" t="s">
        <v>952</v>
      </c>
      <c r="I5" s="11" t="s">
        <v>850</v>
      </c>
      <c r="J5" s="12" t="s">
        <v>954</v>
      </c>
      <c r="K5" t="s">
        <v>851</v>
      </c>
      <c r="L5" t="s">
        <v>852</v>
      </c>
      <c r="M5" t="s">
        <v>853</v>
      </c>
      <c r="N5" t="s">
        <v>854</v>
      </c>
    </row>
    <row r="6" spans="1:14" x14ac:dyDescent="0.25">
      <c r="A6" t="s">
        <v>855</v>
      </c>
      <c r="B6" t="s">
        <v>856</v>
      </c>
      <c r="C6" t="s">
        <v>857</v>
      </c>
      <c r="D6" t="s">
        <v>858</v>
      </c>
      <c r="E6" t="s">
        <v>859</v>
      </c>
      <c r="F6" t="s">
        <v>860</v>
      </c>
      <c r="G6" t="s">
        <v>861</v>
      </c>
      <c r="H6" t="s">
        <v>862</v>
      </c>
      <c r="I6" t="s">
        <v>863</v>
      </c>
      <c r="J6" t="s">
        <v>864</v>
      </c>
      <c r="K6" s="8" t="s">
        <v>955</v>
      </c>
      <c r="L6" t="s">
        <v>865</v>
      </c>
      <c r="M6" t="s">
        <v>866</v>
      </c>
      <c r="N6" t="s">
        <v>867</v>
      </c>
    </row>
    <row r="7" spans="1:14" x14ac:dyDescent="0.25">
      <c r="A7" t="s">
        <v>868</v>
      </c>
      <c r="B7" t="s">
        <v>869</v>
      </c>
      <c r="C7" t="s">
        <v>870</v>
      </c>
      <c r="D7" t="s">
        <v>871</v>
      </c>
      <c r="E7" t="s">
        <v>872</v>
      </c>
      <c r="F7" t="s">
        <v>873</v>
      </c>
      <c r="G7" t="s">
        <v>874</v>
      </c>
      <c r="H7" t="s">
        <v>875</v>
      </c>
      <c r="I7" t="s">
        <v>876</v>
      </c>
      <c r="J7" t="s">
        <v>877</v>
      </c>
      <c r="K7" t="s">
        <v>878</v>
      </c>
      <c r="L7" t="s">
        <v>879</v>
      </c>
      <c r="M7" s="12" t="s">
        <v>956</v>
      </c>
      <c r="N7" t="s">
        <v>880</v>
      </c>
    </row>
    <row r="8" spans="1:14" x14ac:dyDescent="0.25">
      <c r="A8" s="8" t="s">
        <v>958</v>
      </c>
      <c r="B8" t="s">
        <v>881</v>
      </c>
      <c r="C8" t="s">
        <v>882</v>
      </c>
      <c r="D8" t="s">
        <v>883</v>
      </c>
      <c r="E8" t="s">
        <v>884</v>
      </c>
      <c r="F8" t="s">
        <v>885</v>
      </c>
      <c r="G8" t="s">
        <v>886</v>
      </c>
      <c r="H8" t="s">
        <v>887</v>
      </c>
      <c r="I8" s="8" t="s">
        <v>953</v>
      </c>
      <c r="J8" t="s">
        <v>888</v>
      </c>
      <c r="K8" t="s">
        <v>889</v>
      </c>
      <c r="L8" t="s">
        <v>890</v>
      </c>
      <c r="M8" t="s">
        <v>891</v>
      </c>
      <c r="N8" t="s">
        <v>892</v>
      </c>
    </row>
    <row r="9" spans="1:14" x14ac:dyDescent="0.25">
      <c r="A9" s="11" t="s">
        <v>893</v>
      </c>
      <c r="B9" s="12" t="s">
        <v>947</v>
      </c>
      <c r="C9" t="s">
        <v>894</v>
      </c>
      <c r="D9" s="8" t="s">
        <v>949</v>
      </c>
      <c r="E9" t="s">
        <v>895</v>
      </c>
      <c r="F9" t="s">
        <v>896</v>
      </c>
      <c r="G9" s="11" t="s">
        <v>897</v>
      </c>
      <c r="H9" t="s">
        <v>898</v>
      </c>
      <c r="I9" t="s">
        <v>899</v>
      </c>
      <c r="J9" t="s">
        <v>900</v>
      </c>
      <c r="K9" s="11" t="s">
        <v>901</v>
      </c>
      <c r="L9" t="s">
        <v>902</v>
      </c>
      <c r="M9" t="s">
        <v>903</v>
      </c>
      <c r="N9" t="s">
        <v>904</v>
      </c>
    </row>
    <row r="10" spans="1:14" ht="30" x14ac:dyDescent="0.25">
      <c r="A10" t="s">
        <v>905</v>
      </c>
      <c r="B10" t="s">
        <v>906</v>
      </c>
      <c r="C10" s="11" t="s">
        <v>907</v>
      </c>
      <c r="D10" t="s">
        <v>908</v>
      </c>
      <c r="E10" t="s">
        <v>909</v>
      </c>
      <c r="F10" s="11" t="s">
        <v>910</v>
      </c>
      <c r="G10" t="s">
        <v>911</v>
      </c>
      <c r="H10" t="s">
        <v>912</v>
      </c>
      <c r="I10" t="s">
        <v>913</v>
      </c>
      <c r="J10" t="s">
        <v>914</v>
      </c>
      <c r="K10" t="s">
        <v>915</v>
      </c>
      <c r="L10" s="12" t="s">
        <v>945</v>
      </c>
      <c r="M10" t="s">
        <v>916</v>
      </c>
      <c r="N10" s="12" t="s">
        <v>957</v>
      </c>
    </row>
    <row r="11" spans="1:14" x14ac:dyDescent="0.25">
      <c r="A11" t="s">
        <v>917</v>
      </c>
      <c r="B11" t="s">
        <v>918</v>
      </c>
      <c r="C11" t="s">
        <v>919</v>
      </c>
      <c r="D11" s="11" t="s">
        <v>920</v>
      </c>
      <c r="E11" t="s">
        <v>921</v>
      </c>
      <c r="F11" t="s">
        <v>922</v>
      </c>
      <c r="G11" t="s">
        <v>923</v>
      </c>
      <c r="H11" t="s">
        <v>924</v>
      </c>
      <c r="I11" t="s">
        <v>925</v>
      </c>
      <c r="J11" t="s">
        <v>926</v>
      </c>
      <c r="K11" t="s">
        <v>927</v>
      </c>
      <c r="L11" t="s">
        <v>928</v>
      </c>
      <c r="M11" t="s">
        <v>929</v>
      </c>
      <c r="N11" t="s">
        <v>930</v>
      </c>
    </row>
    <row r="12" spans="1:14" x14ac:dyDescent="0.25">
      <c r="A12" t="s">
        <v>931</v>
      </c>
      <c r="B12" t="s">
        <v>932</v>
      </c>
      <c r="C12" t="s">
        <v>933</v>
      </c>
      <c r="D12" t="s">
        <v>934</v>
      </c>
      <c r="E12" s="11" t="s">
        <v>935</v>
      </c>
      <c r="F12" t="s">
        <v>936</v>
      </c>
      <c r="G12" t="s">
        <v>937</v>
      </c>
      <c r="H12" t="s">
        <v>938</v>
      </c>
      <c r="I12" t="s">
        <v>939</v>
      </c>
      <c r="J12" t="s">
        <v>940</v>
      </c>
      <c r="K12" t="s">
        <v>941</v>
      </c>
      <c r="L12" t="s">
        <v>942</v>
      </c>
      <c r="M12" t="s">
        <v>943</v>
      </c>
      <c r="N12" t="s">
        <v>944</v>
      </c>
    </row>
    <row r="18" spans="1:5" x14ac:dyDescent="0.25">
      <c r="A18" s="9" t="s">
        <v>802</v>
      </c>
    </row>
    <row r="19" spans="1:5" x14ac:dyDescent="0.25">
      <c r="A19" t="s">
        <v>816</v>
      </c>
      <c r="B19" t="s">
        <v>960</v>
      </c>
      <c r="C19">
        <v>13</v>
      </c>
      <c r="D19">
        <v>25</v>
      </c>
    </row>
    <row r="20" spans="1:5" x14ac:dyDescent="0.25">
      <c r="A20" t="s">
        <v>829</v>
      </c>
      <c r="B20" t="s">
        <v>960</v>
      </c>
      <c r="C20">
        <v>8</v>
      </c>
      <c r="D20">
        <v>25</v>
      </c>
      <c r="E20">
        <v>25</v>
      </c>
    </row>
    <row r="21" spans="1:5" x14ac:dyDescent="0.25">
      <c r="A21" t="s">
        <v>843</v>
      </c>
      <c r="B21" t="s">
        <v>960</v>
      </c>
      <c r="C21">
        <v>3</v>
      </c>
      <c r="D21">
        <v>25</v>
      </c>
    </row>
    <row r="22" spans="1:5" x14ac:dyDescent="0.25">
      <c r="A22" t="s">
        <v>853</v>
      </c>
      <c r="B22" t="s">
        <v>960</v>
      </c>
      <c r="C22">
        <v>30</v>
      </c>
      <c r="D22">
        <v>25</v>
      </c>
    </row>
    <row r="23" spans="1:5" x14ac:dyDescent="0.25">
      <c r="A23" t="s">
        <v>866</v>
      </c>
      <c r="B23" t="s">
        <v>961</v>
      </c>
      <c r="C23">
        <v>7</v>
      </c>
      <c r="D23">
        <v>25</v>
      </c>
    </row>
    <row r="24" spans="1:5" x14ac:dyDescent="0.25">
      <c r="A24" s="12" t="s">
        <v>956</v>
      </c>
      <c r="B24" t="s">
        <v>960</v>
      </c>
      <c r="C24">
        <v>1</v>
      </c>
      <c r="D24">
        <v>100</v>
      </c>
      <c r="E24">
        <v>100</v>
      </c>
    </row>
    <row r="25" spans="1:5" x14ac:dyDescent="0.25">
      <c r="A25" t="s">
        <v>891</v>
      </c>
      <c r="B25" t="s">
        <v>962</v>
      </c>
      <c r="C25">
        <v>11</v>
      </c>
      <c r="D25">
        <v>25</v>
      </c>
    </row>
    <row r="26" spans="1:5" x14ac:dyDescent="0.25">
      <c r="A26" t="s">
        <v>903</v>
      </c>
      <c r="B26" t="s">
        <v>960</v>
      </c>
      <c r="C26">
        <v>44</v>
      </c>
      <c r="D26">
        <v>25</v>
      </c>
    </row>
    <row r="27" spans="1:5" x14ac:dyDescent="0.25">
      <c r="A27" t="s">
        <v>916</v>
      </c>
      <c r="B27" t="s">
        <v>960</v>
      </c>
      <c r="C27">
        <v>2</v>
      </c>
      <c r="D27">
        <v>25</v>
      </c>
    </row>
    <row r="28" spans="1:5" x14ac:dyDescent="0.25">
      <c r="A28" t="s">
        <v>929</v>
      </c>
      <c r="B28" t="s">
        <v>960</v>
      </c>
      <c r="C28">
        <v>31</v>
      </c>
      <c r="D28">
        <v>55</v>
      </c>
    </row>
    <row r="29" spans="1:5" x14ac:dyDescent="0.25">
      <c r="A29" t="s">
        <v>943</v>
      </c>
      <c r="B29" t="s">
        <v>961</v>
      </c>
      <c r="C29">
        <v>22</v>
      </c>
      <c r="D29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B46E05-42BA-4BD3-BA0A-33215B71BBC8}">
  <dimension ref="A1:H165"/>
  <sheetViews>
    <sheetView topLeftCell="A52" workbookViewId="0">
      <selection activeCell="F1" sqref="F1:F1048576"/>
    </sheetView>
  </sheetViews>
  <sheetFormatPr defaultRowHeight="15" x14ac:dyDescent="0.25"/>
  <cols>
    <col min="4" max="4" width="32.42578125" bestFit="1" customWidth="1"/>
    <col min="5" max="5" width="13.7109375" bestFit="1" customWidth="1"/>
  </cols>
  <sheetData>
    <row r="1" spans="1:8" x14ac:dyDescent="0.25">
      <c r="A1" s="1" t="s">
        <v>413</v>
      </c>
      <c r="B1" s="1" t="s">
        <v>1</v>
      </c>
      <c r="C1" s="1" t="s">
        <v>2</v>
      </c>
      <c r="D1" s="1" t="s">
        <v>414</v>
      </c>
      <c r="E1" s="1" t="s">
        <v>415</v>
      </c>
      <c r="F1" s="1" t="s">
        <v>4</v>
      </c>
      <c r="G1" s="1" t="s">
        <v>416</v>
      </c>
      <c r="H1" s="1" t="s">
        <v>417</v>
      </c>
    </row>
    <row r="2" spans="1:8" x14ac:dyDescent="0.25">
      <c r="A2">
        <v>486</v>
      </c>
      <c r="B2" t="s">
        <v>98</v>
      </c>
      <c r="C2" t="s">
        <v>285</v>
      </c>
      <c r="D2" t="s">
        <v>418</v>
      </c>
      <c r="E2" t="s">
        <v>419</v>
      </c>
      <c r="F2">
        <v>65</v>
      </c>
      <c r="G2" t="s">
        <v>420</v>
      </c>
      <c r="H2" t="s">
        <v>71</v>
      </c>
    </row>
    <row r="3" spans="1:8" x14ac:dyDescent="0.25">
      <c r="B3" t="s">
        <v>158</v>
      </c>
      <c r="C3" t="s">
        <v>395</v>
      </c>
      <c r="D3" t="s">
        <v>421</v>
      </c>
      <c r="E3" t="s">
        <v>422</v>
      </c>
      <c r="F3">
        <v>60</v>
      </c>
      <c r="G3" t="s">
        <v>42</v>
      </c>
      <c r="H3" t="s">
        <v>420</v>
      </c>
    </row>
    <row r="4" spans="1:8" x14ac:dyDescent="0.25">
      <c r="A4">
        <v>585</v>
      </c>
      <c r="B4" t="s">
        <v>123</v>
      </c>
      <c r="C4" t="s">
        <v>124</v>
      </c>
      <c r="D4" t="s">
        <v>423</v>
      </c>
      <c r="E4" t="s">
        <v>424</v>
      </c>
      <c r="F4">
        <v>66</v>
      </c>
      <c r="G4" t="s">
        <v>425</v>
      </c>
      <c r="H4" t="s">
        <v>425</v>
      </c>
    </row>
    <row r="5" spans="1:8" x14ac:dyDescent="0.25">
      <c r="A5">
        <v>596</v>
      </c>
      <c r="B5" t="s">
        <v>180</v>
      </c>
      <c r="C5" t="s">
        <v>181</v>
      </c>
      <c r="D5" t="s">
        <v>426</v>
      </c>
      <c r="E5" t="s">
        <v>427</v>
      </c>
      <c r="F5">
        <v>58</v>
      </c>
      <c r="G5" t="s">
        <v>425</v>
      </c>
      <c r="H5" t="s">
        <v>428</v>
      </c>
    </row>
    <row r="6" spans="1:8" x14ac:dyDescent="0.25">
      <c r="A6">
        <v>588</v>
      </c>
      <c r="B6" t="s">
        <v>132</v>
      </c>
      <c r="C6" t="s">
        <v>133</v>
      </c>
      <c r="D6" t="s">
        <v>429</v>
      </c>
      <c r="E6" t="s">
        <v>430</v>
      </c>
      <c r="F6">
        <v>60</v>
      </c>
      <c r="G6" t="s">
        <v>420</v>
      </c>
      <c r="H6" t="s">
        <v>92</v>
      </c>
    </row>
    <row r="7" spans="1:8" x14ac:dyDescent="0.25">
      <c r="A7">
        <v>599</v>
      </c>
      <c r="B7" t="s">
        <v>35</v>
      </c>
      <c r="C7" t="s">
        <v>202</v>
      </c>
      <c r="D7" t="s">
        <v>431</v>
      </c>
      <c r="E7" t="s">
        <v>432</v>
      </c>
      <c r="F7">
        <v>69</v>
      </c>
      <c r="G7" t="s">
        <v>139</v>
      </c>
      <c r="H7" t="s">
        <v>433</v>
      </c>
    </row>
    <row r="8" spans="1:8" x14ac:dyDescent="0.25">
      <c r="A8">
        <v>301</v>
      </c>
      <c r="B8" t="s">
        <v>51</v>
      </c>
      <c r="C8" t="s">
        <v>76</v>
      </c>
      <c r="D8" t="s">
        <v>434</v>
      </c>
      <c r="E8" t="s">
        <v>435</v>
      </c>
      <c r="F8">
        <v>62</v>
      </c>
      <c r="G8" t="s">
        <v>139</v>
      </c>
      <c r="H8" t="s">
        <v>192</v>
      </c>
    </row>
    <row r="9" spans="1:8" x14ac:dyDescent="0.25">
      <c r="A9">
        <v>458</v>
      </c>
      <c r="B9" t="s">
        <v>100</v>
      </c>
      <c r="C9" t="s">
        <v>108</v>
      </c>
      <c r="D9" t="s">
        <v>436</v>
      </c>
      <c r="E9" t="s">
        <v>437</v>
      </c>
      <c r="F9">
        <v>56</v>
      </c>
      <c r="G9" t="s">
        <v>438</v>
      </c>
      <c r="H9" t="s">
        <v>92</v>
      </c>
    </row>
    <row r="10" spans="1:8" x14ac:dyDescent="0.25">
      <c r="A10">
        <v>277</v>
      </c>
      <c r="B10" t="s">
        <v>218</v>
      </c>
      <c r="C10" t="s">
        <v>360</v>
      </c>
      <c r="D10" t="s">
        <v>439</v>
      </c>
      <c r="E10" t="s">
        <v>440</v>
      </c>
      <c r="F10">
        <v>68</v>
      </c>
      <c r="G10" t="s">
        <v>441</v>
      </c>
      <c r="H10" t="s">
        <v>441</v>
      </c>
    </row>
    <row r="11" spans="1:8" x14ac:dyDescent="0.25">
      <c r="A11">
        <v>359</v>
      </c>
      <c r="B11" t="s">
        <v>98</v>
      </c>
      <c r="C11" t="s">
        <v>323</v>
      </c>
      <c r="D11" t="s">
        <v>442</v>
      </c>
      <c r="E11" t="s">
        <v>443</v>
      </c>
      <c r="F11">
        <v>65</v>
      </c>
      <c r="G11" t="s">
        <v>420</v>
      </c>
      <c r="H11" t="s">
        <v>420</v>
      </c>
    </row>
    <row r="12" spans="1:8" x14ac:dyDescent="0.25">
      <c r="A12">
        <v>514</v>
      </c>
      <c r="B12" t="s">
        <v>123</v>
      </c>
      <c r="C12" t="s">
        <v>186</v>
      </c>
      <c r="D12" t="s">
        <v>444</v>
      </c>
      <c r="E12" t="s">
        <v>445</v>
      </c>
      <c r="F12">
        <v>60</v>
      </c>
      <c r="G12" t="s">
        <v>446</v>
      </c>
      <c r="H12" t="s">
        <v>420</v>
      </c>
    </row>
    <row r="13" spans="1:8" x14ac:dyDescent="0.25">
      <c r="A13">
        <v>457</v>
      </c>
      <c r="B13" t="s">
        <v>112</v>
      </c>
      <c r="C13" t="s">
        <v>238</v>
      </c>
      <c r="D13" t="s">
        <v>447</v>
      </c>
      <c r="E13" t="s">
        <v>448</v>
      </c>
      <c r="F13">
        <v>56</v>
      </c>
      <c r="G13" t="s">
        <v>42</v>
      </c>
      <c r="H13" t="s">
        <v>449</v>
      </c>
    </row>
    <row r="14" spans="1:8" x14ac:dyDescent="0.25">
      <c r="A14">
        <v>270</v>
      </c>
      <c r="B14" t="s">
        <v>187</v>
      </c>
      <c r="C14" t="s">
        <v>309</v>
      </c>
      <c r="D14" t="s">
        <v>450</v>
      </c>
      <c r="E14" t="s">
        <v>451</v>
      </c>
      <c r="F14">
        <v>69</v>
      </c>
      <c r="G14" t="s">
        <v>139</v>
      </c>
      <c r="H14" t="s">
        <v>42</v>
      </c>
    </row>
    <row r="15" spans="1:8" x14ac:dyDescent="0.25">
      <c r="A15">
        <v>133</v>
      </c>
      <c r="B15" t="s">
        <v>357</v>
      </c>
      <c r="C15" t="s">
        <v>358</v>
      </c>
      <c r="D15" t="s">
        <v>452</v>
      </c>
      <c r="E15" t="s">
        <v>453</v>
      </c>
      <c r="F15">
        <v>69</v>
      </c>
      <c r="G15" t="s">
        <v>454</v>
      </c>
      <c r="H15" t="s">
        <v>31</v>
      </c>
    </row>
    <row r="16" spans="1:8" x14ac:dyDescent="0.25">
      <c r="A16">
        <v>427</v>
      </c>
      <c r="B16" t="s">
        <v>104</v>
      </c>
      <c r="C16" t="s">
        <v>347</v>
      </c>
      <c r="D16" t="s">
        <v>455</v>
      </c>
      <c r="E16" t="s">
        <v>456</v>
      </c>
      <c r="F16">
        <v>69</v>
      </c>
      <c r="G16" t="s">
        <v>42</v>
      </c>
      <c r="H16" t="s">
        <v>92</v>
      </c>
    </row>
    <row r="17" spans="1:8" x14ac:dyDescent="0.25">
      <c r="A17">
        <v>478</v>
      </c>
      <c r="B17" t="s">
        <v>29</v>
      </c>
      <c r="C17" t="s">
        <v>30</v>
      </c>
      <c r="D17" t="s">
        <v>457</v>
      </c>
      <c r="E17" t="s">
        <v>458</v>
      </c>
      <c r="F17">
        <v>61</v>
      </c>
      <c r="G17" t="s">
        <v>459</v>
      </c>
      <c r="H17" t="s">
        <v>459</v>
      </c>
    </row>
    <row r="18" spans="1:8" x14ac:dyDescent="0.25">
      <c r="A18">
        <v>561</v>
      </c>
      <c r="B18" t="s">
        <v>58</v>
      </c>
      <c r="C18" t="s">
        <v>335</v>
      </c>
      <c r="D18" t="s">
        <v>460</v>
      </c>
      <c r="E18" t="s">
        <v>461</v>
      </c>
      <c r="F18">
        <v>59</v>
      </c>
      <c r="G18" t="s">
        <v>420</v>
      </c>
      <c r="H18" t="s">
        <v>139</v>
      </c>
    </row>
    <row r="19" spans="1:8" x14ac:dyDescent="0.25">
      <c r="A19">
        <v>404</v>
      </c>
      <c r="B19" t="s">
        <v>294</v>
      </c>
      <c r="C19" t="s">
        <v>303</v>
      </c>
      <c r="D19" t="s">
        <v>462</v>
      </c>
      <c r="E19" t="s">
        <v>463</v>
      </c>
      <c r="F19">
        <v>65</v>
      </c>
      <c r="G19" t="s">
        <v>92</v>
      </c>
      <c r="H19" t="s">
        <v>31</v>
      </c>
    </row>
    <row r="20" spans="1:8" x14ac:dyDescent="0.25">
      <c r="A20">
        <v>243</v>
      </c>
      <c r="B20" t="s">
        <v>339</v>
      </c>
      <c r="C20" t="s">
        <v>381</v>
      </c>
      <c r="D20" t="s">
        <v>464</v>
      </c>
      <c r="E20" t="s">
        <v>465</v>
      </c>
      <c r="F20">
        <v>76</v>
      </c>
      <c r="G20" t="s">
        <v>466</v>
      </c>
      <c r="H20" t="s">
        <v>467</v>
      </c>
    </row>
    <row r="21" spans="1:8" x14ac:dyDescent="0.25">
      <c r="A21">
        <v>336</v>
      </c>
      <c r="B21" t="s">
        <v>276</v>
      </c>
      <c r="C21" t="s">
        <v>304</v>
      </c>
      <c r="D21" t="s">
        <v>468</v>
      </c>
      <c r="E21" t="s">
        <v>469</v>
      </c>
      <c r="F21">
        <v>78</v>
      </c>
      <c r="G21" t="s">
        <v>420</v>
      </c>
      <c r="H21" t="s">
        <v>92</v>
      </c>
    </row>
    <row r="22" spans="1:8" x14ac:dyDescent="0.25">
      <c r="A22">
        <v>202</v>
      </c>
      <c r="B22" t="s">
        <v>98</v>
      </c>
      <c r="C22" t="s">
        <v>318</v>
      </c>
      <c r="D22" t="s">
        <v>470</v>
      </c>
      <c r="E22" t="s">
        <v>471</v>
      </c>
      <c r="F22">
        <v>70</v>
      </c>
      <c r="G22" t="s">
        <v>139</v>
      </c>
      <c r="H22" t="s">
        <v>472</v>
      </c>
    </row>
    <row r="23" spans="1:8" x14ac:dyDescent="0.25">
      <c r="A23">
        <v>374</v>
      </c>
      <c r="B23" t="s">
        <v>169</v>
      </c>
      <c r="C23" t="s">
        <v>172</v>
      </c>
      <c r="D23" t="s">
        <v>473</v>
      </c>
      <c r="E23" t="s">
        <v>474</v>
      </c>
      <c r="F23">
        <v>67</v>
      </c>
      <c r="G23" t="s">
        <v>420</v>
      </c>
      <c r="H23" t="s">
        <v>420</v>
      </c>
    </row>
    <row r="24" spans="1:8" x14ac:dyDescent="0.25">
      <c r="A24">
        <v>594</v>
      </c>
      <c r="B24" t="s">
        <v>339</v>
      </c>
      <c r="C24" t="s">
        <v>340</v>
      </c>
      <c r="D24" t="s">
        <v>475</v>
      </c>
      <c r="E24" t="s">
        <v>476</v>
      </c>
      <c r="F24">
        <v>60</v>
      </c>
      <c r="G24" t="s">
        <v>136</v>
      </c>
      <c r="H24" t="s">
        <v>477</v>
      </c>
    </row>
    <row r="25" spans="1:8" x14ac:dyDescent="0.25">
      <c r="B25" t="s">
        <v>45</v>
      </c>
      <c r="C25" t="s">
        <v>397</v>
      </c>
      <c r="D25" t="s">
        <v>478</v>
      </c>
      <c r="E25" t="s">
        <v>479</v>
      </c>
      <c r="F25">
        <v>60</v>
      </c>
      <c r="G25" t="s">
        <v>71</v>
      </c>
      <c r="H25" t="s">
        <v>31</v>
      </c>
    </row>
    <row r="26" spans="1:8" x14ac:dyDescent="0.25">
      <c r="A26">
        <v>516</v>
      </c>
      <c r="B26" t="s">
        <v>292</v>
      </c>
      <c r="C26" t="s">
        <v>293</v>
      </c>
      <c r="D26" t="s">
        <v>480</v>
      </c>
      <c r="E26" t="s">
        <v>481</v>
      </c>
      <c r="F26">
        <v>66</v>
      </c>
      <c r="G26" t="s">
        <v>420</v>
      </c>
      <c r="H26" t="s">
        <v>420</v>
      </c>
    </row>
    <row r="27" spans="1:8" x14ac:dyDescent="0.25">
      <c r="A27">
        <v>393</v>
      </c>
      <c r="B27" t="s">
        <v>35</v>
      </c>
      <c r="C27" t="s">
        <v>36</v>
      </c>
      <c r="D27" t="s">
        <v>482</v>
      </c>
      <c r="E27" t="s">
        <v>483</v>
      </c>
      <c r="F27">
        <v>58</v>
      </c>
      <c r="G27" t="s">
        <v>420</v>
      </c>
      <c r="H27" t="s">
        <v>420</v>
      </c>
    </row>
    <row r="28" spans="1:8" x14ac:dyDescent="0.25">
      <c r="A28">
        <v>187</v>
      </c>
      <c r="B28" t="s">
        <v>369</v>
      </c>
      <c r="C28" t="s">
        <v>370</v>
      </c>
      <c r="D28" t="s">
        <v>484</v>
      </c>
      <c r="E28" t="s">
        <v>485</v>
      </c>
      <c r="F28">
        <v>72</v>
      </c>
      <c r="G28" t="s">
        <v>486</v>
      </c>
      <c r="H28" t="s">
        <v>487</v>
      </c>
    </row>
    <row r="29" spans="1:8" x14ac:dyDescent="0.25">
      <c r="A29">
        <v>250</v>
      </c>
      <c r="B29" t="s">
        <v>58</v>
      </c>
      <c r="C29" t="s">
        <v>386</v>
      </c>
      <c r="D29" t="s">
        <v>488</v>
      </c>
      <c r="E29" t="s">
        <v>489</v>
      </c>
      <c r="F29">
        <v>68</v>
      </c>
      <c r="G29" t="s">
        <v>42</v>
      </c>
      <c r="H29" t="s">
        <v>139</v>
      </c>
    </row>
    <row r="30" spans="1:8" x14ac:dyDescent="0.25">
      <c r="B30" t="s">
        <v>399</v>
      </c>
      <c r="C30" t="s">
        <v>170</v>
      </c>
      <c r="D30" t="s">
        <v>490</v>
      </c>
      <c r="E30" t="s">
        <v>491</v>
      </c>
      <c r="F30">
        <v>55</v>
      </c>
      <c r="G30" t="s">
        <v>492</v>
      </c>
      <c r="H30" t="s">
        <v>42</v>
      </c>
    </row>
    <row r="31" spans="1:8" x14ac:dyDescent="0.25">
      <c r="A31">
        <v>595</v>
      </c>
      <c r="B31" t="s">
        <v>169</v>
      </c>
      <c r="C31" t="s">
        <v>170</v>
      </c>
      <c r="D31" t="s">
        <v>493</v>
      </c>
      <c r="E31" t="s">
        <v>494</v>
      </c>
      <c r="F31">
        <v>62</v>
      </c>
      <c r="G31" t="s">
        <v>420</v>
      </c>
      <c r="H31" t="s">
        <v>31</v>
      </c>
    </row>
    <row r="32" spans="1:8" x14ac:dyDescent="0.25">
      <c r="A32">
        <v>324</v>
      </c>
      <c r="B32" t="s">
        <v>98</v>
      </c>
      <c r="C32" t="s">
        <v>99</v>
      </c>
      <c r="D32" t="s">
        <v>495</v>
      </c>
      <c r="E32" t="s">
        <v>496</v>
      </c>
      <c r="F32">
        <v>66</v>
      </c>
      <c r="G32" t="s">
        <v>420</v>
      </c>
      <c r="H32" t="s">
        <v>139</v>
      </c>
    </row>
    <row r="33" spans="1:8" x14ac:dyDescent="0.25">
      <c r="A33">
        <v>487</v>
      </c>
      <c r="B33" t="s">
        <v>365</v>
      </c>
      <c r="C33" t="s">
        <v>366</v>
      </c>
      <c r="D33" t="s">
        <v>497</v>
      </c>
      <c r="E33" t="s">
        <v>498</v>
      </c>
      <c r="F33">
        <v>69</v>
      </c>
      <c r="G33" t="s">
        <v>139</v>
      </c>
      <c r="H33" t="s">
        <v>420</v>
      </c>
    </row>
    <row r="34" spans="1:8" x14ac:dyDescent="0.25">
      <c r="A34">
        <v>251</v>
      </c>
      <c r="B34" t="s">
        <v>98</v>
      </c>
      <c r="C34" t="s">
        <v>372</v>
      </c>
      <c r="D34" t="s">
        <v>499</v>
      </c>
      <c r="E34" t="s">
        <v>500</v>
      </c>
      <c r="F34">
        <v>69</v>
      </c>
      <c r="G34" t="s">
        <v>139</v>
      </c>
      <c r="H34" t="s">
        <v>42</v>
      </c>
    </row>
    <row r="35" spans="1:8" x14ac:dyDescent="0.25">
      <c r="A35">
        <v>502</v>
      </c>
      <c r="B35" t="s">
        <v>252</v>
      </c>
      <c r="C35" t="s">
        <v>321</v>
      </c>
      <c r="D35" t="s">
        <v>501</v>
      </c>
      <c r="E35" t="s">
        <v>502</v>
      </c>
      <c r="F35">
        <v>65</v>
      </c>
      <c r="G35" t="s">
        <v>139</v>
      </c>
      <c r="H35" t="s">
        <v>136</v>
      </c>
    </row>
    <row r="36" spans="1:8" x14ac:dyDescent="0.25">
      <c r="A36">
        <v>438</v>
      </c>
      <c r="B36" t="s">
        <v>141</v>
      </c>
      <c r="C36" t="s">
        <v>312</v>
      </c>
      <c r="D36" t="s">
        <v>503</v>
      </c>
      <c r="E36" t="s">
        <v>504</v>
      </c>
      <c r="F36">
        <v>61</v>
      </c>
      <c r="G36" t="s">
        <v>42</v>
      </c>
      <c r="H36" t="s">
        <v>505</v>
      </c>
    </row>
    <row r="37" spans="1:8" x14ac:dyDescent="0.25">
      <c r="A37">
        <v>342</v>
      </c>
      <c r="B37" t="s">
        <v>221</v>
      </c>
      <c r="C37" t="s">
        <v>222</v>
      </c>
      <c r="D37" t="s">
        <v>506</v>
      </c>
      <c r="E37" t="s">
        <v>507</v>
      </c>
      <c r="F37">
        <v>56</v>
      </c>
      <c r="G37" t="s">
        <v>31</v>
      </c>
      <c r="H37" t="s">
        <v>420</v>
      </c>
    </row>
    <row r="38" spans="1:8" x14ac:dyDescent="0.25">
      <c r="A38">
        <v>432</v>
      </c>
      <c r="B38" t="s">
        <v>286</v>
      </c>
      <c r="C38" t="s">
        <v>287</v>
      </c>
      <c r="D38" t="s">
        <v>508</v>
      </c>
      <c r="E38" t="s">
        <v>509</v>
      </c>
      <c r="F38">
        <v>70</v>
      </c>
      <c r="G38" t="s">
        <v>510</v>
      </c>
      <c r="H38" t="s">
        <v>420</v>
      </c>
    </row>
    <row r="39" spans="1:8" x14ac:dyDescent="0.25">
      <c r="A39">
        <v>610</v>
      </c>
      <c r="B39" t="s">
        <v>190</v>
      </c>
      <c r="C39" t="s">
        <v>191</v>
      </c>
      <c r="D39" t="s">
        <v>511</v>
      </c>
      <c r="E39" t="s">
        <v>512</v>
      </c>
      <c r="F39">
        <v>54</v>
      </c>
      <c r="G39" t="s">
        <v>192</v>
      </c>
      <c r="H39" t="s">
        <v>92</v>
      </c>
    </row>
    <row r="40" spans="1:8" x14ac:dyDescent="0.25">
      <c r="A40">
        <v>229</v>
      </c>
      <c r="B40" t="s">
        <v>66</v>
      </c>
      <c r="C40" t="s">
        <v>168</v>
      </c>
      <c r="D40" t="s">
        <v>513</v>
      </c>
      <c r="E40" t="s">
        <v>514</v>
      </c>
      <c r="F40">
        <v>69</v>
      </c>
      <c r="G40" t="s">
        <v>420</v>
      </c>
      <c r="H40" t="s">
        <v>92</v>
      </c>
    </row>
    <row r="41" spans="1:8" x14ac:dyDescent="0.25">
      <c r="A41">
        <v>440</v>
      </c>
      <c r="B41" t="s">
        <v>289</v>
      </c>
      <c r="C41" t="s">
        <v>290</v>
      </c>
      <c r="D41" t="s">
        <v>515</v>
      </c>
      <c r="E41" t="s">
        <v>516</v>
      </c>
      <c r="F41">
        <v>73</v>
      </c>
      <c r="G41" t="s">
        <v>92</v>
      </c>
      <c r="H41" t="s">
        <v>31</v>
      </c>
    </row>
    <row r="42" spans="1:8" x14ac:dyDescent="0.25">
      <c r="A42">
        <v>528</v>
      </c>
      <c r="B42" t="s">
        <v>35</v>
      </c>
      <c r="C42" t="s">
        <v>334</v>
      </c>
      <c r="D42" t="s">
        <v>517</v>
      </c>
      <c r="E42" t="s">
        <v>518</v>
      </c>
      <c r="F42">
        <v>59</v>
      </c>
      <c r="G42" t="s">
        <v>519</v>
      </c>
      <c r="H42" t="s">
        <v>420</v>
      </c>
    </row>
    <row r="43" spans="1:8" x14ac:dyDescent="0.25">
      <c r="A43">
        <v>571</v>
      </c>
      <c r="B43" t="s">
        <v>90</v>
      </c>
      <c r="C43" t="s">
        <v>175</v>
      </c>
      <c r="D43" t="s">
        <v>520</v>
      </c>
      <c r="E43" t="s">
        <v>521</v>
      </c>
      <c r="F43">
        <v>64</v>
      </c>
      <c r="G43" t="s">
        <v>42</v>
      </c>
      <c r="H43" t="s">
        <v>92</v>
      </c>
    </row>
    <row r="44" spans="1:8" x14ac:dyDescent="0.25">
      <c r="B44" t="s">
        <v>215</v>
      </c>
      <c r="C44" t="s">
        <v>401</v>
      </c>
      <c r="D44" t="s">
        <v>522</v>
      </c>
      <c r="E44" t="s">
        <v>523</v>
      </c>
      <c r="F44">
        <v>56</v>
      </c>
      <c r="G44" t="s">
        <v>420</v>
      </c>
      <c r="H44" t="s">
        <v>139</v>
      </c>
    </row>
    <row r="45" spans="1:8" x14ac:dyDescent="0.25">
      <c r="A45">
        <v>506</v>
      </c>
      <c r="B45" t="s">
        <v>45</v>
      </c>
      <c r="C45" t="s">
        <v>213</v>
      </c>
      <c r="D45" t="s">
        <v>524</v>
      </c>
      <c r="E45" t="s">
        <v>525</v>
      </c>
      <c r="F45">
        <v>62</v>
      </c>
      <c r="G45" t="s">
        <v>420</v>
      </c>
      <c r="H45" t="s">
        <v>526</v>
      </c>
    </row>
    <row r="46" spans="1:8" x14ac:dyDescent="0.25">
      <c r="A46">
        <v>358</v>
      </c>
      <c r="B46" t="s">
        <v>126</v>
      </c>
      <c r="C46" t="s">
        <v>379</v>
      </c>
      <c r="D46" t="s">
        <v>527</v>
      </c>
      <c r="E46" t="s">
        <v>528</v>
      </c>
      <c r="F46">
        <v>67</v>
      </c>
      <c r="G46" t="s">
        <v>136</v>
      </c>
      <c r="H46" t="s">
        <v>139</v>
      </c>
    </row>
    <row r="47" spans="1:8" x14ac:dyDescent="0.25">
      <c r="A47">
        <v>170</v>
      </c>
      <c r="B47" t="s">
        <v>261</v>
      </c>
      <c r="C47" t="s">
        <v>262</v>
      </c>
      <c r="D47" t="s">
        <v>529</v>
      </c>
      <c r="E47" t="s">
        <v>530</v>
      </c>
      <c r="F47">
        <v>72</v>
      </c>
      <c r="G47" t="s">
        <v>42</v>
      </c>
      <c r="H47" t="s">
        <v>139</v>
      </c>
    </row>
    <row r="48" spans="1:8" x14ac:dyDescent="0.25">
      <c r="A48">
        <v>611</v>
      </c>
      <c r="B48" t="s">
        <v>83</v>
      </c>
      <c r="C48" t="s">
        <v>84</v>
      </c>
      <c r="D48" t="s">
        <v>531</v>
      </c>
      <c r="E48" t="s">
        <v>532</v>
      </c>
      <c r="F48">
        <v>55</v>
      </c>
      <c r="G48" t="s">
        <v>420</v>
      </c>
      <c r="H48" t="s">
        <v>420</v>
      </c>
    </row>
    <row r="49" spans="1:8" x14ac:dyDescent="0.25">
      <c r="B49" t="s">
        <v>123</v>
      </c>
      <c r="C49" t="s">
        <v>402</v>
      </c>
      <c r="D49" t="s">
        <v>533</v>
      </c>
      <c r="E49" t="s">
        <v>534</v>
      </c>
      <c r="F49">
        <v>64</v>
      </c>
      <c r="G49" t="s">
        <v>420</v>
      </c>
      <c r="H49" t="s">
        <v>31</v>
      </c>
    </row>
    <row r="50" spans="1:8" x14ac:dyDescent="0.25">
      <c r="A50">
        <v>475</v>
      </c>
      <c r="B50" t="s">
        <v>54</v>
      </c>
      <c r="C50" t="s">
        <v>55</v>
      </c>
      <c r="D50" t="s">
        <v>535</v>
      </c>
      <c r="E50" t="s">
        <v>536</v>
      </c>
      <c r="F50">
        <v>58</v>
      </c>
      <c r="G50" t="s">
        <v>459</v>
      </c>
      <c r="H50" t="s">
        <v>420</v>
      </c>
    </row>
    <row r="51" spans="1:8" x14ac:dyDescent="0.25">
      <c r="A51">
        <v>271</v>
      </c>
      <c r="B51" t="s">
        <v>351</v>
      </c>
      <c r="C51" t="s">
        <v>352</v>
      </c>
      <c r="D51" t="s">
        <v>537</v>
      </c>
      <c r="E51" t="s">
        <v>538</v>
      </c>
      <c r="F51">
        <v>68</v>
      </c>
      <c r="G51" t="s">
        <v>539</v>
      </c>
      <c r="H51" t="s">
        <v>420</v>
      </c>
    </row>
    <row r="52" spans="1:8" x14ac:dyDescent="0.25">
      <c r="A52">
        <v>296</v>
      </c>
      <c r="B52" t="s">
        <v>104</v>
      </c>
      <c r="C52" t="s">
        <v>105</v>
      </c>
      <c r="D52" t="s">
        <v>540</v>
      </c>
      <c r="E52" t="s">
        <v>541</v>
      </c>
      <c r="F52">
        <v>65</v>
      </c>
      <c r="G52" t="s">
        <v>31</v>
      </c>
      <c r="H52" t="s">
        <v>31</v>
      </c>
    </row>
    <row r="53" spans="1:8" x14ac:dyDescent="0.25">
      <c r="A53">
        <v>233</v>
      </c>
      <c r="B53" t="s">
        <v>141</v>
      </c>
      <c r="C53" t="s">
        <v>142</v>
      </c>
      <c r="D53" t="s">
        <v>542</v>
      </c>
      <c r="E53" t="s">
        <v>543</v>
      </c>
      <c r="F53">
        <v>68</v>
      </c>
      <c r="G53" t="s">
        <v>420</v>
      </c>
      <c r="H53" t="s">
        <v>31</v>
      </c>
    </row>
    <row r="54" spans="1:8" x14ac:dyDescent="0.25">
      <c r="A54">
        <v>494</v>
      </c>
      <c r="B54" t="s">
        <v>137</v>
      </c>
      <c r="C54" t="s">
        <v>138</v>
      </c>
      <c r="D54" t="s">
        <v>544</v>
      </c>
      <c r="E54" t="s">
        <v>545</v>
      </c>
      <c r="F54">
        <v>57</v>
      </c>
      <c r="G54" t="s">
        <v>42</v>
      </c>
      <c r="H54" t="s">
        <v>139</v>
      </c>
    </row>
    <row r="55" spans="1:8" x14ac:dyDescent="0.25">
      <c r="A55">
        <v>615</v>
      </c>
      <c r="B55" t="s">
        <v>187</v>
      </c>
      <c r="C55" t="s">
        <v>188</v>
      </c>
      <c r="D55" t="s">
        <v>546</v>
      </c>
      <c r="E55" t="s">
        <v>547</v>
      </c>
      <c r="F55">
        <v>55</v>
      </c>
      <c r="G55" t="s">
        <v>420</v>
      </c>
      <c r="H55" t="s">
        <v>31</v>
      </c>
    </row>
    <row r="56" spans="1:8" x14ac:dyDescent="0.25">
      <c r="A56">
        <v>488</v>
      </c>
      <c r="B56" t="s">
        <v>158</v>
      </c>
      <c r="C56" t="s">
        <v>227</v>
      </c>
      <c r="D56" t="s">
        <v>548</v>
      </c>
      <c r="E56" t="s">
        <v>549</v>
      </c>
      <c r="F56">
        <v>55</v>
      </c>
      <c r="G56" t="s">
        <v>438</v>
      </c>
      <c r="H56" t="s">
        <v>539</v>
      </c>
    </row>
    <row r="57" spans="1:8" x14ac:dyDescent="0.25">
      <c r="A57">
        <v>466</v>
      </c>
      <c r="B57" t="s">
        <v>376</v>
      </c>
      <c r="C57" t="s">
        <v>377</v>
      </c>
      <c r="D57" t="s">
        <v>550</v>
      </c>
      <c r="E57" t="s">
        <v>551</v>
      </c>
      <c r="F57">
        <v>65</v>
      </c>
      <c r="G57" t="s">
        <v>136</v>
      </c>
      <c r="H57" t="s">
        <v>92</v>
      </c>
    </row>
    <row r="58" spans="1:8" x14ac:dyDescent="0.25">
      <c r="A58">
        <v>401</v>
      </c>
      <c r="B58" t="s">
        <v>225</v>
      </c>
      <c r="C58" t="s">
        <v>226</v>
      </c>
      <c r="D58" t="s">
        <v>552</v>
      </c>
      <c r="E58" t="s">
        <v>553</v>
      </c>
      <c r="F58">
        <v>63</v>
      </c>
      <c r="G58" t="s">
        <v>42</v>
      </c>
      <c r="H58" t="s">
        <v>31</v>
      </c>
    </row>
    <row r="59" spans="1:8" x14ac:dyDescent="0.25">
      <c r="A59">
        <v>488</v>
      </c>
      <c r="B59" t="s">
        <v>158</v>
      </c>
      <c r="C59" t="s">
        <v>196</v>
      </c>
      <c r="D59" t="s">
        <v>554</v>
      </c>
      <c r="E59" t="s">
        <v>555</v>
      </c>
      <c r="F59">
        <v>59</v>
      </c>
      <c r="G59" t="s">
        <v>420</v>
      </c>
      <c r="H59" t="s">
        <v>139</v>
      </c>
    </row>
    <row r="60" spans="1:8" x14ac:dyDescent="0.25">
      <c r="A60">
        <v>508</v>
      </c>
      <c r="B60" t="s">
        <v>345</v>
      </c>
      <c r="C60" t="s">
        <v>346</v>
      </c>
      <c r="D60" t="s">
        <v>556</v>
      </c>
      <c r="E60" t="s">
        <v>557</v>
      </c>
      <c r="F60">
        <v>67</v>
      </c>
      <c r="G60" t="s">
        <v>139</v>
      </c>
      <c r="H60" t="s">
        <v>136</v>
      </c>
    </row>
    <row r="61" spans="1:8" x14ac:dyDescent="0.25">
      <c r="A61">
        <v>70</v>
      </c>
      <c r="B61" t="s">
        <v>218</v>
      </c>
      <c r="C61" t="s">
        <v>343</v>
      </c>
      <c r="D61" t="s">
        <v>558</v>
      </c>
      <c r="E61" t="s">
        <v>559</v>
      </c>
      <c r="F61">
        <v>76</v>
      </c>
      <c r="G61" t="s">
        <v>42</v>
      </c>
      <c r="H61" t="s">
        <v>42</v>
      </c>
    </row>
    <row r="62" spans="1:8" x14ac:dyDescent="0.25">
      <c r="A62">
        <v>492</v>
      </c>
      <c r="B62" t="s">
        <v>40</v>
      </c>
      <c r="C62" t="s">
        <v>41</v>
      </c>
      <c r="D62" t="s">
        <v>560</v>
      </c>
      <c r="E62" t="s">
        <v>561</v>
      </c>
      <c r="F62">
        <v>68</v>
      </c>
      <c r="G62" t="s">
        <v>92</v>
      </c>
      <c r="H62" t="s">
        <v>42</v>
      </c>
    </row>
    <row r="63" spans="1:8" x14ac:dyDescent="0.25">
      <c r="A63">
        <v>422</v>
      </c>
      <c r="B63" t="s">
        <v>230</v>
      </c>
      <c r="C63" t="s">
        <v>231</v>
      </c>
      <c r="D63" t="s">
        <v>562</v>
      </c>
      <c r="E63" t="s">
        <v>563</v>
      </c>
      <c r="F63">
        <v>62</v>
      </c>
      <c r="G63" t="s">
        <v>42</v>
      </c>
      <c r="H63" t="s">
        <v>31</v>
      </c>
    </row>
    <row r="64" spans="1:8" x14ac:dyDescent="0.25">
      <c r="A64">
        <v>468</v>
      </c>
      <c r="B64" t="s">
        <v>73</v>
      </c>
      <c r="C64" t="s">
        <v>74</v>
      </c>
      <c r="D64" t="s">
        <v>564</v>
      </c>
      <c r="E64" t="s">
        <v>565</v>
      </c>
      <c r="F64">
        <v>64</v>
      </c>
      <c r="G64" t="s">
        <v>71</v>
      </c>
      <c r="H64" t="s">
        <v>438</v>
      </c>
    </row>
    <row r="65" spans="1:8" x14ac:dyDescent="0.25">
      <c r="A65">
        <v>373</v>
      </c>
      <c r="B65" t="s">
        <v>165</v>
      </c>
      <c r="C65" t="s">
        <v>166</v>
      </c>
      <c r="D65" t="s">
        <v>566</v>
      </c>
      <c r="E65" t="s">
        <v>567</v>
      </c>
      <c r="F65">
        <v>60</v>
      </c>
      <c r="G65" t="s">
        <v>568</v>
      </c>
      <c r="H65" t="s">
        <v>569</v>
      </c>
    </row>
    <row r="66" spans="1:8" x14ac:dyDescent="0.25">
      <c r="A66">
        <v>477</v>
      </c>
      <c r="B66" t="s">
        <v>58</v>
      </c>
      <c r="C66" t="s">
        <v>59</v>
      </c>
      <c r="D66" t="s">
        <v>570</v>
      </c>
      <c r="E66" t="s">
        <v>571</v>
      </c>
      <c r="F66">
        <v>57</v>
      </c>
      <c r="G66" t="s">
        <v>31</v>
      </c>
      <c r="H66" t="s">
        <v>42</v>
      </c>
    </row>
    <row r="67" spans="1:8" x14ac:dyDescent="0.25">
      <c r="A67">
        <v>396</v>
      </c>
      <c r="B67" t="s">
        <v>51</v>
      </c>
      <c r="C67" t="s">
        <v>52</v>
      </c>
      <c r="D67" t="s">
        <v>572</v>
      </c>
      <c r="E67" t="s">
        <v>573</v>
      </c>
      <c r="F67">
        <v>55</v>
      </c>
      <c r="G67" t="s">
        <v>574</v>
      </c>
      <c r="H67" t="s">
        <v>438</v>
      </c>
    </row>
    <row r="68" spans="1:8" x14ac:dyDescent="0.25">
      <c r="A68">
        <v>476</v>
      </c>
      <c r="B68" t="s">
        <v>69</v>
      </c>
      <c r="C68" t="s">
        <v>70</v>
      </c>
      <c r="D68" t="s">
        <v>575</v>
      </c>
      <c r="E68" t="s">
        <v>576</v>
      </c>
      <c r="F68">
        <v>60</v>
      </c>
      <c r="G68" t="s">
        <v>459</v>
      </c>
      <c r="H68" t="s">
        <v>420</v>
      </c>
    </row>
    <row r="69" spans="1:8" x14ac:dyDescent="0.25">
      <c r="A69">
        <v>569</v>
      </c>
      <c r="B69" t="s">
        <v>87</v>
      </c>
      <c r="C69" t="s">
        <v>88</v>
      </c>
      <c r="D69" t="s">
        <v>577</v>
      </c>
      <c r="E69" t="s">
        <v>578</v>
      </c>
      <c r="F69">
        <v>54</v>
      </c>
      <c r="G69" t="s">
        <v>420</v>
      </c>
      <c r="H69" t="s">
        <v>420</v>
      </c>
    </row>
    <row r="70" spans="1:8" x14ac:dyDescent="0.25">
      <c r="A70">
        <v>565</v>
      </c>
      <c r="B70" t="s">
        <v>158</v>
      </c>
      <c r="C70" t="s">
        <v>88</v>
      </c>
      <c r="D70" t="s">
        <v>579</v>
      </c>
      <c r="E70" t="s">
        <v>580</v>
      </c>
      <c r="F70">
        <v>67</v>
      </c>
      <c r="G70" t="s">
        <v>420</v>
      </c>
      <c r="H70" t="s">
        <v>420</v>
      </c>
    </row>
    <row r="71" spans="1:8" x14ac:dyDescent="0.25">
      <c r="A71">
        <v>369</v>
      </c>
      <c r="B71" t="s">
        <v>114</v>
      </c>
      <c r="C71" t="s">
        <v>207</v>
      </c>
      <c r="D71" t="s">
        <v>581</v>
      </c>
      <c r="E71" t="s">
        <v>582</v>
      </c>
      <c r="F71">
        <v>66</v>
      </c>
      <c r="G71" t="s">
        <v>583</v>
      </c>
      <c r="H71" t="s">
        <v>420</v>
      </c>
    </row>
    <row r="72" spans="1:8" x14ac:dyDescent="0.25">
      <c r="A72">
        <v>485</v>
      </c>
      <c r="B72" t="s">
        <v>96</v>
      </c>
      <c r="C72" t="s">
        <v>97</v>
      </c>
      <c r="D72" t="s">
        <v>584</v>
      </c>
      <c r="E72" t="s">
        <v>585</v>
      </c>
      <c r="F72">
        <v>55</v>
      </c>
      <c r="G72" t="s">
        <v>586</v>
      </c>
      <c r="H72" t="s">
        <v>586</v>
      </c>
    </row>
    <row r="73" spans="1:8" x14ac:dyDescent="0.25">
      <c r="B73" t="s">
        <v>215</v>
      </c>
      <c r="C73" t="s">
        <v>404</v>
      </c>
      <c r="D73" t="s">
        <v>587</v>
      </c>
      <c r="E73" t="s">
        <v>588</v>
      </c>
      <c r="F73">
        <v>61</v>
      </c>
      <c r="G73" t="s">
        <v>92</v>
      </c>
      <c r="H73" t="s">
        <v>139</v>
      </c>
    </row>
    <row r="74" spans="1:8" x14ac:dyDescent="0.25">
      <c r="A74">
        <v>503</v>
      </c>
      <c r="B74" t="s">
        <v>66</v>
      </c>
      <c r="C74" t="s">
        <v>67</v>
      </c>
      <c r="D74" t="s">
        <v>589</v>
      </c>
      <c r="E74" t="s">
        <v>590</v>
      </c>
      <c r="F74">
        <v>54</v>
      </c>
      <c r="G74" t="s">
        <v>420</v>
      </c>
      <c r="H74" t="s">
        <v>192</v>
      </c>
    </row>
    <row r="75" spans="1:8" x14ac:dyDescent="0.25">
      <c r="A75">
        <v>579</v>
      </c>
      <c r="B75" t="s">
        <v>104</v>
      </c>
      <c r="C75" t="s">
        <v>240</v>
      </c>
      <c r="D75" t="s">
        <v>591</v>
      </c>
      <c r="E75" t="s">
        <v>592</v>
      </c>
      <c r="F75">
        <v>60</v>
      </c>
      <c r="G75" t="s">
        <v>136</v>
      </c>
      <c r="H75" t="s">
        <v>568</v>
      </c>
    </row>
    <row r="76" spans="1:8" x14ac:dyDescent="0.25">
      <c r="A76">
        <v>434</v>
      </c>
      <c r="B76" t="s">
        <v>112</v>
      </c>
      <c r="C76" t="s">
        <v>163</v>
      </c>
      <c r="D76" t="s">
        <v>593</v>
      </c>
      <c r="E76" t="s">
        <v>594</v>
      </c>
      <c r="F76">
        <v>69</v>
      </c>
      <c r="G76" t="s">
        <v>420</v>
      </c>
      <c r="H76" t="s">
        <v>420</v>
      </c>
    </row>
    <row r="77" spans="1:8" x14ac:dyDescent="0.25">
      <c r="A77">
        <v>376</v>
      </c>
      <c r="B77" t="s">
        <v>367</v>
      </c>
      <c r="C77" t="s">
        <v>368</v>
      </c>
      <c r="D77" t="s">
        <v>595</v>
      </c>
      <c r="E77" t="s">
        <v>596</v>
      </c>
      <c r="F77">
        <v>67</v>
      </c>
      <c r="G77" t="s">
        <v>139</v>
      </c>
      <c r="H77" t="s">
        <v>192</v>
      </c>
    </row>
    <row r="78" spans="1:8" x14ac:dyDescent="0.25">
      <c r="A78">
        <v>420</v>
      </c>
      <c r="B78" t="s">
        <v>282</v>
      </c>
      <c r="C78" t="s">
        <v>349</v>
      </c>
      <c r="D78" t="s">
        <v>597</v>
      </c>
      <c r="E78" t="s">
        <v>598</v>
      </c>
      <c r="F78">
        <v>67</v>
      </c>
      <c r="G78" t="s">
        <v>92</v>
      </c>
      <c r="H78" t="s">
        <v>139</v>
      </c>
    </row>
    <row r="79" spans="1:8" x14ac:dyDescent="0.25">
      <c r="A79">
        <v>556</v>
      </c>
      <c r="B79" t="s">
        <v>87</v>
      </c>
      <c r="C79" t="s">
        <v>174</v>
      </c>
      <c r="D79" t="s">
        <v>599</v>
      </c>
      <c r="E79" t="s">
        <v>600</v>
      </c>
      <c r="F79">
        <v>54</v>
      </c>
      <c r="G79" t="s">
        <v>454</v>
      </c>
      <c r="H79" t="s">
        <v>601</v>
      </c>
    </row>
    <row r="80" spans="1:8" x14ac:dyDescent="0.25">
      <c r="A80">
        <v>462</v>
      </c>
      <c r="B80" t="s">
        <v>129</v>
      </c>
      <c r="C80" t="s">
        <v>130</v>
      </c>
      <c r="D80" t="s">
        <v>602</v>
      </c>
      <c r="E80" t="s">
        <v>603</v>
      </c>
      <c r="F80">
        <v>61</v>
      </c>
      <c r="G80" t="s">
        <v>459</v>
      </c>
      <c r="H80" t="s">
        <v>459</v>
      </c>
    </row>
    <row r="81" spans="1:8" x14ac:dyDescent="0.25">
      <c r="A81">
        <v>570</v>
      </c>
      <c r="B81" t="s">
        <v>313</v>
      </c>
      <c r="C81" t="s">
        <v>314</v>
      </c>
      <c r="D81" t="s">
        <v>604</v>
      </c>
      <c r="E81" t="s">
        <v>605</v>
      </c>
      <c r="F81">
        <v>62</v>
      </c>
      <c r="G81" t="s">
        <v>420</v>
      </c>
      <c r="H81" t="s">
        <v>139</v>
      </c>
    </row>
    <row r="82" spans="1:8" x14ac:dyDescent="0.25">
      <c r="A82">
        <v>574</v>
      </c>
      <c r="B82" t="s">
        <v>117</v>
      </c>
      <c r="C82" t="s">
        <v>118</v>
      </c>
      <c r="D82" t="s">
        <v>606</v>
      </c>
      <c r="E82" t="s">
        <v>607</v>
      </c>
      <c r="F82">
        <v>56</v>
      </c>
      <c r="G82" t="s">
        <v>420</v>
      </c>
      <c r="H82" t="s">
        <v>608</v>
      </c>
    </row>
    <row r="83" spans="1:8" x14ac:dyDescent="0.25">
      <c r="A83">
        <v>283</v>
      </c>
      <c r="B83" t="s">
        <v>208</v>
      </c>
      <c r="C83" t="s">
        <v>209</v>
      </c>
      <c r="D83" t="s">
        <v>609</v>
      </c>
      <c r="E83" t="s">
        <v>610</v>
      </c>
      <c r="F83">
        <v>63</v>
      </c>
      <c r="G83" t="s">
        <v>611</v>
      </c>
      <c r="H83" t="s">
        <v>611</v>
      </c>
    </row>
    <row r="84" spans="1:8" x14ac:dyDescent="0.25">
      <c r="A84">
        <v>423</v>
      </c>
      <c r="B84" t="s">
        <v>187</v>
      </c>
      <c r="C84" t="s">
        <v>361</v>
      </c>
      <c r="D84" t="s">
        <v>612</v>
      </c>
      <c r="E84" t="s">
        <v>613</v>
      </c>
      <c r="F84">
        <v>61</v>
      </c>
      <c r="G84" t="s">
        <v>139</v>
      </c>
      <c r="H84" t="s">
        <v>568</v>
      </c>
    </row>
    <row r="85" spans="1:8" x14ac:dyDescent="0.25">
      <c r="A85">
        <v>345</v>
      </c>
      <c r="B85" t="s">
        <v>187</v>
      </c>
      <c r="C85" t="s">
        <v>383</v>
      </c>
      <c r="D85" t="s">
        <v>614</v>
      </c>
      <c r="E85" t="s">
        <v>615</v>
      </c>
      <c r="F85">
        <v>69</v>
      </c>
      <c r="G85" t="s">
        <v>42</v>
      </c>
      <c r="H85" t="s">
        <v>139</v>
      </c>
    </row>
    <row r="86" spans="1:8" x14ac:dyDescent="0.25">
      <c r="A86">
        <v>525</v>
      </c>
      <c r="B86" t="s">
        <v>258</v>
      </c>
      <c r="C86" t="s">
        <v>259</v>
      </c>
      <c r="D86" t="s">
        <v>616</v>
      </c>
      <c r="E86" t="s">
        <v>617</v>
      </c>
      <c r="F86">
        <v>59</v>
      </c>
      <c r="G86" t="s">
        <v>477</v>
      </c>
      <c r="H86" t="s">
        <v>586</v>
      </c>
    </row>
    <row r="87" spans="1:8" x14ac:dyDescent="0.25">
      <c r="A87">
        <v>545</v>
      </c>
      <c r="B87" t="s">
        <v>90</v>
      </c>
      <c r="C87" t="s">
        <v>302</v>
      </c>
      <c r="D87" t="s">
        <v>618</v>
      </c>
      <c r="E87" t="s">
        <v>619</v>
      </c>
      <c r="F87">
        <v>64</v>
      </c>
      <c r="G87" t="s">
        <v>92</v>
      </c>
      <c r="H87" t="s">
        <v>136</v>
      </c>
    </row>
    <row r="88" spans="1:8" x14ac:dyDescent="0.25">
      <c r="A88">
        <v>210</v>
      </c>
      <c r="B88" t="s">
        <v>326</v>
      </c>
      <c r="C88" t="s">
        <v>327</v>
      </c>
      <c r="D88" t="s">
        <v>620</v>
      </c>
      <c r="E88" t="s">
        <v>621</v>
      </c>
      <c r="F88">
        <v>79</v>
      </c>
      <c r="G88" t="s">
        <v>622</v>
      </c>
      <c r="H88" t="s">
        <v>622</v>
      </c>
    </row>
    <row r="89" spans="1:8" x14ac:dyDescent="0.25">
      <c r="A89">
        <v>515</v>
      </c>
      <c r="B89" t="s">
        <v>282</v>
      </c>
      <c r="C89" t="s">
        <v>394</v>
      </c>
      <c r="D89" t="s">
        <v>623</v>
      </c>
      <c r="E89" t="s">
        <v>624</v>
      </c>
      <c r="F89">
        <v>57</v>
      </c>
      <c r="G89" t="s">
        <v>42</v>
      </c>
      <c r="H89" t="s">
        <v>139</v>
      </c>
    </row>
    <row r="90" spans="1:8" x14ac:dyDescent="0.25">
      <c r="A90">
        <v>568</v>
      </c>
      <c r="B90" t="s">
        <v>273</v>
      </c>
      <c r="C90" t="s">
        <v>274</v>
      </c>
      <c r="D90" t="s">
        <v>625</v>
      </c>
      <c r="E90" t="s">
        <v>626</v>
      </c>
      <c r="F90">
        <v>63</v>
      </c>
      <c r="G90" t="s">
        <v>420</v>
      </c>
      <c r="H90" t="s">
        <v>477</v>
      </c>
    </row>
    <row r="91" spans="1:8" x14ac:dyDescent="0.25">
      <c r="A91">
        <v>541</v>
      </c>
      <c r="B91" t="s">
        <v>342</v>
      </c>
      <c r="C91" t="s">
        <v>274</v>
      </c>
      <c r="D91" t="s">
        <v>627</v>
      </c>
      <c r="E91" t="s">
        <v>628</v>
      </c>
      <c r="F91">
        <v>64</v>
      </c>
      <c r="G91" t="s">
        <v>420</v>
      </c>
      <c r="H91" t="s">
        <v>92</v>
      </c>
    </row>
    <row r="92" spans="1:8" x14ac:dyDescent="0.25">
      <c r="A92">
        <v>547</v>
      </c>
      <c r="B92" t="s">
        <v>241</v>
      </c>
      <c r="C92" t="s">
        <v>242</v>
      </c>
      <c r="D92" t="s">
        <v>629</v>
      </c>
      <c r="E92" t="s">
        <v>630</v>
      </c>
      <c r="F92">
        <v>62</v>
      </c>
      <c r="G92" t="s">
        <v>420</v>
      </c>
      <c r="H92" t="s">
        <v>139</v>
      </c>
    </row>
    <row r="93" spans="1:8" x14ac:dyDescent="0.25">
      <c r="A93">
        <v>607</v>
      </c>
      <c r="B93" t="s">
        <v>169</v>
      </c>
      <c r="C93" t="s">
        <v>300</v>
      </c>
      <c r="D93" t="s">
        <v>631</v>
      </c>
      <c r="E93" t="s">
        <v>632</v>
      </c>
      <c r="F93">
        <v>66</v>
      </c>
      <c r="G93" t="s">
        <v>586</v>
      </c>
      <c r="H93" t="s">
        <v>601</v>
      </c>
    </row>
    <row r="94" spans="1:8" x14ac:dyDescent="0.25">
      <c r="A94">
        <v>126</v>
      </c>
      <c r="B94" t="s">
        <v>54</v>
      </c>
      <c r="C94" t="s">
        <v>148</v>
      </c>
      <c r="D94" t="s">
        <v>633</v>
      </c>
      <c r="E94" t="s">
        <v>634</v>
      </c>
      <c r="F94">
        <v>71</v>
      </c>
      <c r="G94" t="s">
        <v>420</v>
      </c>
      <c r="H94" t="s">
        <v>139</v>
      </c>
    </row>
    <row r="95" spans="1:8" x14ac:dyDescent="0.25">
      <c r="B95" t="s">
        <v>351</v>
      </c>
      <c r="C95" t="s">
        <v>406</v>
      </c>
      <c r="D95" t="s">
        <v>635</v>
      </c>
      <c r="E95" t="s">
        <v>636</v>
      </c>
      <c r="F95">
        <v>60</v>
      </c>
      <c r="G95" t="s">
        <v>420</v>
      </c>
      <c r="H95" t="s">
        <v>420</v>
      </c>
    </row>
    <row r="96" spans="1:8" x14ac:dyDescent="0.25">
      <c r="A96">
        <v>576</v>
      </c>
      <c r="B96" t="s">
        <v>69</v>
      </c>
      <c r="C96" t="s">
        <v>298</v>
      </c>
      <c r="D96" t="s">
        <v>637</v>
      </c>
      <c r="E96" t="s">
        <v>638</v>
      </c>
      <c r="F96">
        <v>60</v>
      </c>
      <c r="G96" t="s">
        <v>71</v>
      </c>
      <c r="H96" t="s">
        <v>31</v>
      </c>
    </row>
    <row r="97" spans="1:8" x14ac:dyDescent="0.25">
      <c r="A97">
        <v>159</v>
      </c>
      <c r="B97" t="s">
        <v>155</v>
      </c>
      <c r="C97" t="s">
        <v>156</v>
      </c>
      <c r="D97" t="s">
        <v>639</v>
      </c>
      <c r="E97" t="s">
        <v>640</v>
      </c>
      <c r="F97">
        <v>65</v>
      </c>
      <c r="G97" t="s">
        <v>31</v>
      </c>
      <c r="H97" t="s">
        <v>71</v>
      </c>
    </row>
    <row r="98" spans="1:8" x14ac:dyDescent="0.25">
      <c r="A98">
        <v>552</v>
      </c>
      <c r="B98" t="s">
        <v>87</v>
      </c>
      <c r="C98" t="s">
        <v>198</v>
      </c>
      <c r="D98" t="s">
        <v>641</v>
      </c>
      <c r="E98" t="s">
        <v>642</v>
      </c>
      <c r="F98">
        <v>53</v>
      </c>
      <c r="G98" t="s">
        <v>420</v>
      </c>
      <c r="H98" t="s">
        <v>492</v>
      </c>
    </row>
    <row r="99" spans="1:8" x14ac:dyDescent="0.25">
      <c r="A99">
        <v>467</v>
      </c>
      <c r="B99" t="s">
        <v>45</v>
      </c>
      <c r="C99" t="s">
        <v>198</v>
      </c>
      <c r="D99" t="s">
        <v>643</v>
      </c>
      <c r="E99" t="s">
        <v>644</v>
      </c>
      <c r="F99">
        <v>62</v>
      </c>
      <c r="G99" t="s">
        <v>420</v>
      </c>
      <c r="H99" t="s">
        <v>586</v>
      </c>
    </row>
    <row r="100" spans="1:8" x14ac:dyDescent="0.25">
      <c r="A100">
        <v>361</v>
      </c>
      <c r="B100" t="s">
        <v>289</v>
      </c>
      <c r="C100" t="s">
        <v>384</v>
      </c>
      <c r="D100" t="s">
        <v>645</v>
      </c>
      <c r="E100" t="s">
        <v>646</v>
      </c>
      <c r="F100">
        <v>65</v>
      </c>
      <c r="G100" t="s">
        <v>420</v>
      </c>
      <c r="H100" t="s">
        <v>420</v>
      </c>
    </row>
    <row r="101" spans="1:8" x14ac:dyDescent="0.25">
      <c r="B101" t="s">
        <v>120</v>
      </c>
      <c r="C101" t="s">
        <v>408</v>
      </c>
      <c r="D101" t="s">
        <v>647</v>
      </c>
      <c r="E101" t="s">
        <v>648</v>
      </c>
      <c r="F101">
        <v>55</v>
      </c>
      <c r="G101" t="s">
        <v>649</v>
      </c>
      <c r="H101" t="s">
        <v>139</v>
      </c>
    </row>
    <row r="102" spans="1:8" x14ac:dyDescent="0.25">
      <c r="A102">
        <v>522</v>
      </c>
      <c r="B102" t="s">
        <v>54</v>
      </c>
      <c r="C102" t="s">
        <v>223</v>
      </c>
      <c r="D102" t="s">
        <v>650</v>
      </c>
      <c r="E102" t="s">
        <v>651</v>
      </c>
      <c r="F102">
        <v>72</v>
      </c>
      <c r="G102" t="s">
        <v>420</v>
      </c>
      <c r="H102" t="s">
        <v>477</v>
      </c>
    </row>
    <row r="103" spans="1:8" x14ac:dyDescent="0.25">
      <c r="A103">
        <v>319</v>
      </c>
      <c r="B103" t="s">
        <v>90</v>
      </c>
      <c r="C103" t="s">
        <v>307</v>
      </c>
      <c r="D103" t="s">
        <v>652</v>
      </c>
      <c r="E103" t="s">
        <v>653</v>
      </c>
      <c r="F103">
        <v>70</v>
      </c>
      <c r="G103" t="s">
        <v>31</v>
      </c>
      <c r="H103" t="s">
        <v>136</v>
      </c>
    </row>
    <row r="104" spans="1:8" x14ac:dyDescent="0.25">
      <c r="A104">
        <v>587</v>
      </c>
      <c r="B104" t="s">
        <v>178</v>
      </c>
      <c r="C104" t="s">
        <v>179</v>
      </c>
      <c r="D104" t="s">
        <v>654</v>
      </c>
      <c r="E104" t="s">
        <v>655</v>
      </c>
      <c r="F104">
        <v>58</v>
      </c>
      <c r="G104" t="s">
        <v>539</v>
      </c>
      <c r="H104" t="s">
        <v>420</v>
      </c>
    </row>
    <row r="105" spans="1:8" x14ac:dyDescent="0.25">
      <c r="A105">
        <v>313</v>
      </c>
      <c r="B105" t="s">
        <v>265</v>
      </c>
      <c r="C105" t="s">
        <v>266</v>
      </c>
      <c r="D105" t="s">
        <v>656</v>
      </c>
      <c r="E105" t="s">
        <v>657</v>
      </c>
      <c r="F105">
        <v>72</v>
      </c>
      <c r="G105" t="s">
        <v>92</v>
      </c>
      <c r="H105" t="s">
        <v>139</v>
      </c>
    </row>
    <row r="106" spans="1:8" x14ac:dyDescent="0.25">
      <c r="A106">
        <v>412</v>
      </c>
      <c r="B106" t="s">
        <v>120</v>
      </c>
      <c r="C106" t="s">
        <v>121</v>
      </c>
      <c r="D106" t="s">
        <v>658</v>
      </c>
      <c r="E106" t="s">
        <v>659</v>
      </c>
      <c r="F106">
        <v>64</v>
      </c>
      <c r="G106" t="s">
        <v>420</v>
      </c>
      <c r="H106" t="s">
        <v>31</v>
      </c>
    </row>
    <row r="107" spans="1:8" x14ac:dyDescent="0.25">
      <c r="A107">
        <v>612</v>
      </c>
      <c r="B107" t="s">
        <v>187</v>
      </c>
      <c r="C107" t="s">
        <v>200</v>
      </c>
      <c r="D107" t="s">
        <v>660</v>
      </c>
      <c r="E107" t="s">
        <v>661</v>
      </c>
      <c r="F107">
        <v>59</v>
      </c>
      <c r="G107" t="s">
        <v>420</v>
      </c>
      <c r="H107" t="s">
        <v>92</v>
      </c>
    </row>
    <row r="108" spans="1:8" x14ac:dyDescent="0.25">
      <c r="A108">
        <v>454</v>
      </c>
      <c r="B108" t="s">
        <v>63</v>
      </c>
      <c r="C108" t="s">
        <v>64</v>
      </c>
      <c r="D108" t="s">
        <v>662</v>
      </c>
      <c r="E108" t="s">
        <v>663</v>
      </c>
      <c r="F108">
        <v>63</v>
      </c>
      <c r="G108" t="s">
        <v>467</v>
      </c>
      <c r="H108" t="s">
        <v>568</v>
      </c>
    </row>
    <row r="109" spans="1:8" x14ac:dyDescent="0.25">
      <c r="A109">
        <v>315</v>
      </c>
      <c r="B109" t="s">
        <v>123</v>
      </c>
      <c r="C109" t="s">
        <v>392</v>
      </c>
      <c r="D109" t="s">
        <v>664</v>
      </c>
      <c r="E109" t="s">
        <v>665</v>
      </c>
      <c r="F109">
        <v>74</v>
      </c>
      <c r="G109" t="s">
        <v>42</v>
      </c>
      <c r="H109" t="s">
        <v>42</v>
      </c>
    </row>
    <row r="110" spans="1:8" x14ac:dyDescent="0.25">
      <c r="A110">
        <v>385</v>
      </c>
      <c r="B110" t="s">
        <v>388</v>
      </c>
      <c r="C110" t="s">
        <v>389</v>
      </c>
      <c r="D110" t="s">
        <v>666</v>
      </c>
      <c r="E110" t="s">
        <v>667</v>
      </c>
      <c r="F110">
        <v>67</v>
      </c>
      <c r="G110" t="s">
        <v>92</v>
      </c>
      <c r="H110" t="s">
        <v>192</v>
      </c>
    </row>
    <row r="111" spans="1:8" x14ac:dyDescent="0.25">
      <c r="A111">
        <v>424</v>
      </c>
      <c r="B111" t="s">
        <v>248</v>
      </c>
      <c r="C111" t="s">
        <v>249</v>
      </c>
      <c r="D111" t="s">
        <v>668</v>
      </c>
      <c r="E111" t="s">
        <v>669</v>
      </c>
      <c r="F111">
        <v>63</v>
      </c>
      <c r="G111" t="s">
        <v>192</v>
      </c>
      <c r="H111" t="s">
        <v>192</v>
      </c>
    </row>
    <row r="112" spans="1:8" x14ac:dyDescent="0.25">
      <c r="A112">
        <v>383</v>
      </c>
      <c r="B112" t="s">
        <v>66</v>
      </c>
      <c r="C112" t="s">
        <v>150</v>
      </c>
      <c r="D112" t="s">
        <v>670</v>
      </c>
      <c r="E112" t="s">
        <v>671</v>
      </c>
      <c r="F112">
        <v>60</v>
      </c>
      <c r="G112" t="s">
        <v>420</v>
      </c>
      <c r="H112" t="s">
        <v>420</v>
      </c>
    </row>
    <row r="113" spans="1:8" x14ac:dyDescent="0.25">
      <c r="A113">
        <v>537</v>
      </c>
      <c r="B113" t="s">
        <v>183</v>
      </c>
      <c r="C113" t="s">
        <v>184</v>
      </c>
      <c r="D113" t="s">
        <v>672</v>
      </c>
      <c r="E113" t="s">
        <v>673</v>
      </c>
      <c r="F113">
        <v>67</v>
      </c>
      <c r="G113" t="s">
        <v>420</v>
      </c>
      <c r="H113" t="s">
        <v>420</v>
      </c>
    </row>
    <row r="114" spans="1:8" x14ac:dyDescent="0.25">
      <c r="A114">
        <v>421</v>
      </c>
      <c r="B114" t="s">
        <v>35</v>
      </c>
      <c r="C114" t="s">
        <v>331</v>
      </c>
      <c r="D114" t="s">
        <v>674</v>
      </c>
      <c r="E114" t="s">
        <v>675</v>
      </c>
      <c r="F114">
        <v>63</v>
      </c>
      <c r="G114" t="s">
        <v>676</v>
      </c>
      <c r="H114" t="s">
        <v>568</v>
      </c>
    </row>
    <row r="115" spans="1:8" x14ac:dyDescent="0.25">
      <c r="A115">
        <v>484</v>
      </c>
      <c r="B115" t="s">
        <v>152</v>
      </c>
      <c r="C115" t="s">
        <v>153</v>
      </c>
      <c r="D115" t="s">
        <v>677</v>
      </c>
      <c r="E115" t="s">
        <v>678</v>
      </c>
      <c r="F115">
        <v>70</v>
      </c>
      <c r="G115" t="s">
        <v>438</v>
      </c>
      <c r="H115" t="s">
        <v>459</v>
      </c>
    </row>
    <row r="116" spans="1:8" x14ac:dyDescent="0.25">
      <c r="A116">
        <v>388</v>
      </c>
      <c r="B116" t="s">
        <v>169</v>
      </c>
      <c r="C116" t="s">
        <v>280</v>
      </c>
      <c r="D116" t="s">
        <v>679</v>
      </c>
      <c r="E116" t="s">
        <v>680</v>
      </c>
      <c r="F116">
        <v>60</v>
      </c>
      <c r="G116" t="s">
        <v>681</v>
      </c>
      <c r="H116" t="s">
        <v>681</v>
      </c>
    </row>
    <row r="117" spans="1:8" x14ac:dyDescent="0.25">
      <c r="A117">
        <v>566</v>
      </c>
      <c r="B117" t="s">
        <v>81</v>
      </c>
      <c r="C117" t="s">
        <v>82</v>
      </c>
      <c r="D117" t="s">
        <v>682</v>
      </c>
      <c r="E117" t="s">
        <v>683</v>
      </c>
      <c r="F117">
        <v>52</v>
      </c>
      <c r="G117" t="s">
        <v>526</v>
      </c>
      <c r="H117" t="s">
        <v>526</v>
      </c>
    </row>
    <row r="118" spans="1:8" x14ac:dyDescent="0.25">
      <c r="A118">
        <v>260</v>
      </c>
      <c r="B118" t="s">
        <v>276</v>
      </c>
      <c r="C118" t="s">
        <v>277</v>
      </c>
      <c r="D118" t="s">
        <v>684</v>
      </c>
      <c r="E118" t="s">
        <v>685</v>
      </c>
      <c r="F118">
        <v>69</v>
      </c>
      <c r="G118" t="s">
        <v>42</v>
      </c>
      <c r="H118" t="s">
        <v>139</v>
      </c>
    </row>
    <row r="119" spans="1:8" x14ac:dyDescent="0.25">
      <c r="A119">
        <v>504</v>
      </c>
      <c r="B119" t="s">
        <v>114</v>
      </c>
      <c r="C119" t="s">
        <v>115</v>
      </c>
      <c r="D119" t="s">
        <v>686</v>
      </c>
      <c r="E119" t="s">
        <v>687</v>
      </c>
      <c r="F119">
        <v>65</v>
      </c>
      <c r="G119" t="s">
        <v>688</v>
      </c>
      <c r="H119" t="s">
        <v>688</v>
      </c>
    </row>
    <row r="120" spans="1:8" x14ac:dyDescent="0.25">
      <c r="A120">
        <v>286</v>
      </c>
      <c r="B120" t="s">
        <v>218</v>
      </c>
      <c r="C120" t="s">
        <v>219</v>
      </c>
      <c r="D120" t="s">
        <v>689</v>
      </c>
      <c r="E120" t="s">
        <v>690</v>
      </c>
      <c r="F120">
        <v>65</v>
      </c>
      <c r="G120" t="s">
        <v>139</v>
      </c>
      <c r="H120" t="s">
        <v>31</v>
      </c>
    </row>
    <row r="121" spans="1:8" x14ac:dyDescent="0.25">
      <c r="A121">
        <v>517</v>
      </c>
      <c r="B121" t="s">
        <v>215</v>
      </c>
      <c r="C121" t="s">
        <v>257</v>
      </c>
      <c r="D121" t="s">
        <v>691</v>
      </c>
      <c r="E121" t="s">
        <v>692</v>
      </c>
      <c r="F121">
        <v>70</v>
      </c>
      <c r="G121" t="s">
        <v>420</v>
      </c>
      <c r="H121" t="s">
        <v>420</v>
      </c>
    </row>
    <row r="122" spans="1:8" x14ac:dyDescent="0.25">
      <c r="A122">
        <v>175</v>
      </c>
      <c r="B122" t="s">
        <v>66</v>
      </c>
      <c r="C122" t="s">
        <v>272</v>
      </c>
      <c r="D122" t="s">
        <v>693</v>
      </c>
      <c r="E122" t="s">
        <v>694</v>
      </c>
      <c r="F122">
        <v>67</v>
      </c>
      <c r="G122" t="s">
        <v>477</v>
      </c>
      <c r="H122" t="s">
        <v>139</v>
      </c>
    </row>
    <row r="123" spans="1:8" x14ac:dyDescent="0.25">
      <c r="A123">
        <v>343</v>
      </c>
      <c r="B123" t="s">
        <v>252</v>
      </c>
      <c r="C123" t="s">
        <v>253</v>
      </c>
      <c r="D123" t="s">
        <v>695</v>
      </c>
      <c r="E123" t="s">
        <v>696</v>
      </c>
      <c r="F123">
        <v>64</v>
      </c>
      <c r="G123" t="s">
        <v>420</v>
      </c>
      <c r="H123" t="s">
        <v>477</v>
      </c>
    </row>
    <row r="124" spans="1:8" x14ac:dyDescent="0.25">
      <c r="A124">
        <v>603</v>
      </c>
      <c r="B124" t="s">
        <v>51</v>
      </c>
      <c r="C124" t="s">
        <v>319</v>
      </c>
      <c r="D124" t="s">
        <v>697</v>
      </c>
      <c r="E124" t="s">
        <v>698</v>
      </c>
      <c r="F124">
        <v>50</v>
      </c>
      <c r="G124" t="s">
        <v>420</v>
      </c>
      <c r="H124" t="s">
        <v>420</v>
      </c>
    </row>
    <row r="125" spans="1:8" x14ac:dyDescent="0.25">
      <c r="A125">
        <v>131</v>
      </c>
      <c r="B125" t="s">
        <v>215</v>
      </c>
      <c r="C125" t="s">
        <v>374</v>
      </c>
      <c r="D125" t="s">
        <v>699</v>
      </c>
      <c r="E125" t="s">
        <v>700</v>
      </c>
      <c r="F125">
        <v>72</v>
      </c>
      <c r="G125" t="s">
        <v>42</v>
      </c>
      <c r="H125" t="s">
        <v>139</v>
      </c>
    </row>
    <row r="126" spans="1:8" x14ac:dyDescent="0.25">
      <c r="A126">
        <v>553</v>
      </c>
      <c r="B126" t="s">
        <v>294</v>
      </c>
      <c r="C126" t="s">
        <v>295</v>
      </c>
      <c r="D126" t="s">
        <v>701</v>
      </c>
      <c r="E126" t="s">
        <v>702</v>
      </c>
      <c r="F126">
        <v>69</v>
      </c>
      <c r="G126" t="s">
        <v>136</v>
      </c>
      <c r="H126" t="s">
        <v>459</v>
      </c>
    </row>
    <row r="127" spans="1:8" x14ac:dyDescent="0.25">
      <c r="B127" t="s">
        <v>35</v>
      </c>
      <c r="C127" t="s">
        <v>306</v>
      </c>
      <c r="D127" t="s">
        <v>703</v>
      </c>
      <c r="E127" t="s">
        <v>704</v>
      </c>
      <c r="F127">
        <v>65</v>
      </c>
      <c r="G127" t="s">
        <v>705</v>
      </c>
      <c r="H127" t="s">
        <v>706</v>
      </c>
    </row>
    <row r="128" spans="1:8" x14ac:dyDescent="0.25">
      <c r="A128">
        <v>399</v>
      </c>
      <c r="B128" t="s">
        <v>289</v>
      </c>
      <c r="C128" t="s">
        <v>306</v>
      </c>
      <c r="D128" t="s">
        <v>707</v>
      </c>
      <c r="E128" t="s">
        <v>708</v>
      </c>
      <c r="F128">
        <v>65</v>
      </c>
      <c r="G128" t="s">
        <v>31</v>
      </c>
      <c r="H128" t="s">
        <v>709</v>
      </c>
    </row>
    <row r="129" spans="1:8" x14ac:dyDescent="0.25">
      <c r="A129">
        <v>237</v>
      </c>
      <c r="B129" t="s">
        <v>126</v>
      </c>
      <c r="C129" t="s">
        <v>320</v>
      </c>
      <c r="D129" t="s">
        <v>710</v>
      </c>
      <c r="E129" t="s">
        <v>711</v>
      </c>
      <c r="F129">
        <v>71</v>
      </c>
      <c r="G129" t="s">
        <v>459</v>
      </c>
      <c r="H129" t="s">
        <v>420</v>
      </c>
    </row>
    <row r="130" spans="1:8" x14ac:dyDescent="0.25">
      <c r="A130">
        <v>469</v>
      </c>
      <c r="B130" t="s">
        <v>328</v>
      </c>
      <c r="C130" t="s">
        <v>329</v>
      </c>
      <c r="D130" t="s">
        <v>712</v>
      </c>
      <c r="E130" t="s">
        <v>713</v>
      </c>
      <c r="F130">
        <v>69</v>
      </c>
      <c r="G130" t="s">
        <v>420</v>
      </c>
      <c r="H130" t="s">
        <v>31</v>
      </c>
    </row>
    <row r="131" spans="1:8" x14ac:dyDescent="0.25">
      <c r="A131">
        <v>452</v>
      </c>
      <c r="B131" t="s">
        <v>46</v>
      </c>
      <c r="C131" t="s">
        <v>255</v>
      </c>
      <c r="D131" t="s">
        <v>714</v>
      </c>
      <c r="E131" t="s">
        <v>715</v>
      </c>
      <c r="F131">
        <v>70</v>
      </c>
      <c r="G131" t="s">
        <v>425</v>
      </c>
      <c r="H131" t="s">
        <v>425</v>
      </c>
    </row>
    <row r="132" spans="1:8" x14ac:dyDescent="0.25">
      <c r="B132" t="s">
        <v>120</v>
      </c>
      <c r="C132" t="s">
        <v>411</v>
      </c>
      <c r="D132" t="s">
        <v>716</v>
      </c>
      <c r="E132" t="s">
        <v>717</v>
      </c>
      <c r="F132">
        <v>62</v>
      </c>
      <c r="G132" t="s">
        <v>420</v>
      </c>
      <c r="H132" t="s">
        <v>92</v>
      </c>
    </row>
    <row r="133" spans="1:8" x14ac:dyDescent="0.25">
      <c r="A133">
        <v>299</v>
      </c>
      <c r="B133" t="s">
        <v>336</v>
      </c>
      <c r="C133" t="s">
        <v>337</v>
      </c>
      <c r="D133" t="s">
        <v>718</v>
      </c>
      <c r="E133" t="s">
        <v>719</v>
      </c>
      <c r="F133">
        <v>70</v>
      </c>
      <c r="G133" t="s">
        <v>136</v>
      </c>
      <c r="H133" t="s">
        <v>688</v>
      </c>
    </row>
    <row r="134" spans="1:8" x14ac:dyDescent="0.25">
      <c r="A134">
        <v>513</v>
      </c>
      <c r="B134" t="s">
        <v>126</v>
      </c>
      <c r="C134" t="s">
        <v>194</v>
      </c>
      <c r="D134" t="s">
        <v>720</v>
      </c>
      <c r="E134" t="s">
        <v>721</v>
      </c>
      <c r="F134">
        <v>55</v>
      </c>
      <c r="G134" t="s">
        <v>420</v>
      </c>
      <c r="H134" t="s">
        <v>420</v>
      </c>
    </row>
    <row r="135" spans="1:8" x14ac:dyDescent="0.25">
      <c r="A135">
        <v>474</v>
      </c>
      <c r="B135" t="s">
        <v>54</v>
      </c>
      <c r="C135" t="s">
        <v>61</v>
      </c>
      <c r="D135" t="s">
        <v>722</v>
      </c>
      <c r="E135" t="s">
        <v>723</v>
      </c>
      <c r="F135">
        <v>57</v>
      </c>
      <c r="G135" t="s">
        <v>31</v>
      </c>
      <c r="H135" t="s">
        <v>420</v>
      </c>
    </row>
    <row r="136" spans="1:8" x14ac:dyDescent="0.25">
      <c r="A136">
        <v>546</v>
      </c>
      <c r="B136" t="s">
        <v>109</v>
      </c>
      <c r="C136" t="s">
        <v>110</v>
      </c>
      <c r="D136" t="s">
        <v>724</v>
      </c>
      <c r="E136" t="s">
        <v>725</v>
      </c>
      <c r="F136">
        <v>58</v>
      </c>
      <c r="G136" t="s">
        <v>31</v>
      </c>
      <c r="H136" t="s">
        <v>92</v>
      </c>
    </row>
    <row r="137" spans="1:8" x14ac:dyDescent="0.25">
      <c r="A137">
        <v>204</v>
      </c>
      <c r="B137" t="s">
        <v>362</v>
      </c>
      <c r="C137" t="s">
        <v>363</v>
      </c>
      <c r="D137" t="s">
        <v>726</v>
      </c>
      <c r="E137" t="s">
        <v>727</v>
      </c>
      <c r="F137">
        <v>75</v>
      </c>
      <c r="G137" t="s">
        <v>192</v>
      </c>
      <c r="H137" t="s">
        <v>420</v>
      </c>
    </row>
    <row r="138" spans="1:8" x14ac:dyDescent="0.25">
      <c r="A138">
        <v>573</v>
      </c>
      <c r="B138" t="s">
        <v>137</v>
      </c>
      <c r="C138" t="s">
        <v>239</v>
      </c>
      <c r="D138" t="s">
        <v>728</v>
      </c>
      <c r="E138" t="s">
        <v>729</v>
      </c>
      <c r="F138">
        <v>55</v>
      </c>
      <c r="G138" t="s">
        <v>420</v>
      </c>
      <c r="H138" t="s">
        <v>139</v>
      </c>
    </row>
    <row r="139" spans="1:8" x14ac:dyDescent="0.25">
      <c r="A139">
        <v>495</v>
      </c>
      <c r="B139" t="s">
        <v>282</v>
      </c>
      <c r="C139" t="s">
        <v>283</v>
      </c>
      <c r="D139" t="s">
        <v>730</v>
      </c>
      <c r="E139" t="s">
        <v>731</v>
      </c>
      <c r="F139">
        <v>53</v>
      </c>
      <c r="G139" t="s">
        <v>420</v>
      </c>
      <c r="H139" t="s">
        <v>732</v>
      </c>
    </row>
    <row r="140" spans="1:8" x14ac:dyDescent="0.25">
      <c r="A140">
        <v>23</v>
      </c>
      <c r="B140" t="s">
        <v>54</v>
      </c>
      <c r="C140" t="s">
        <v>355</v>
      </c>
      <c r="D140" t="s">
        <v>733</v>
      </c>
      <c r="E140" t="s">
        <v>734</v>
      </c>
      <c r="F140">
        <v>80</v>
      </c>
      <c r="G140" t="s">
        <v>568</v>
      </c>
      <c r="H140" t="s">
        <v>136</v>
      </c>
    </row>
    <row r="141" spans="1:8" x14ac:dyDescent="0.25">
      <c r="A141">
        <v>245</v>
      </c>
      <c r="B141" t="s">
        <v>183</v>
      </c>
      <c r="C141" t="s">
        <v>353</v>
      </c>
      <c r="D141" t="s">
        <v>735</v>
      </c>
      <c r="E141" t="s">
        <v>736</v>
      </c>
      <c r="F141">
        <v>64</v>
      </c>
      <c r="G141" t="s">
        <v>688</v>
      </c>
      <c r="H141" t="s">
        <v>737</v>
      </c>
    </row>
    <row r="142" spans="1:8" x14ac:dyDescent="0.25">
      <c r="A142">
        <v>280</v>
      </c>
      <c r="B142" t="s">
        <v>51</v>
      </c>
      <c r="C142" t="s">
        <v>228</v>
      </c>
      <c r="D142" t="s">
        <v>738</v>
      </c>
      <c r="E142" t="s">
        <v>739</v>
      </c>
      <c r="F142">
        <v>64</v>
      </c>
      <c r="G142" t="s">
        <v>71</v>
      </c>
      <c r="H142" t="s">
        <v>92</v>
      </c>
    </row>
    <row r="143" spans="1:8" x14ac:dyDescent="0.25">
      <c r="A143">
        <v>577</v>
      </c>
      <c r="B143" t="s">
        <v>100</v>
      </c>
      <c r="C143" t="s">
        <v>101</v>
      </c>
      <c r="D143" t="s">
        <v>740</v>
      </c>
      <c r="E143" t="s">
        <v>741</v>
      </c>
      <c r="F143">
        <v>65</v>
      </c>
      <c r="G143" t="s">
        <v>31</v>
      </c>
      <c r="H143" t="s">
        <v>92</v>
      </c>
    </row>
    <row r="144" spans="1:8" x14ac:dyDescent="0.25">
      <c r="A144">
        <v>75</v>
      </c>
      <c r="B144" t="s">
        <v>390</v>
      </c>
      <c r="C144" t="s">
        <v>391</v>
      </c>
      <c r="D144" t="s">
        <v>742</v>
      </c>
      <c r="E144" t="s">
        <v>743</v>
      </c>
      <c r="F144">
        <v>78</v>
      </c>
      <c r="G144" t="s">
        <v>568</v>
      </c>
      <c r="H144" t="s">
        <v>472</v>
      </c>
    </row>
    <row r="145" spans="1:8" x14ac:dyDescent="0.25">
      <c r="A145">
        <v>597</v>
      </c>
      <c r="B145" t="s">
        <v>160</v>
      </c>
      <c r="C145" t="s">
        <v>161</v>
      </c>
      <c r="D145" t="s">
        <v>744</v>
      </c>
      <c r="E145" t="s">
        <v>745</v>
      </c>
      <c r="F145">
        <v>59</v>
      </c>
      <c r="G145" t="s">
        <v>746</v>
      </c>
      <c r="H145" t="s">
        <v>420</v>
      </c>
    </row>
    <row r="146" spans="1:8" x14ac:dyDescent="0.25">
      <c r="A146">
        <v>428</v>
      </c>
      <c r="B146" t="s">
        <v>145</v>
      </c>
      <c r="C146" t="s">
        <v>146</v>
      </c>
      <c r="D146" t="s">
        <v>747</v>
      </c>
      <c r="E146" t="s">
        <v>748</v>
      </c>
      <c r="F146">
        <v>54</v>
      </c>
      <c r="G146" t="s">
        <v>749</v>
      </c>
      <c r="H146" t="s">
        <v>420</v>
      </c>
    </row>
    <row r="147" spans="1:8" x14ac:dyDescent="0.25">
      <c r="A147">
        <v>511</v>
      </c>
      <c r="B147" t="s">
        <v>215</v>
      </c>
      <c r="C147" t="s">
        <v>216</v>
      </c>
      <c r="D147" t="s">
        <v>750</v>
      </c>
      <c r="E147" t="s">
        <v>751</v>
      </c>
      <c r="F147">
        <v>63</v>
      </c>
      <c r="G147" t="s">
        <v>139</v>
      </c>
      <c r="H147" t="s">
        <v>92</v>
      </c>
    </row>
    <row r="148" spans="1:8" x14ac:dyDescent="0.25">
      <c r="A148">
        <v>181</v>
      </c>
      <c r="B148" t="s">
        <v>29</v>
      </c>
      <c r="C148" t="s">
        <v>267</v>
      </c>
      <c r="D148" t="s">
        <v>752</v>
      </c>
      <c r="E148" t="s">
        <v>753</v>
      </c>
      <c r="F148">
        <v>67</v>
      </c>
      <c r="G148" t="s">
        <v>31</v>
      </c>
      <c r="H148" t="s">
        <v>420</v>
      </c>
    </row>
    <row r="149" spans="1:8" x14ac:dyDescent="0.25">
      <c r="A149">
        <v>523</v>
      </c>
      <c r="B149" t="s">
        <v>112</v>
      </c>
      <c r="C149" t="s">
        <v>113</v>
      </c>
      <c r="D149" t="s">
        <v>754</v>
      </c>
      <c r="E149" t="s">
        <v>755</v>
      </c>
      <c r="F149">
        <v>61</v>
      </c>
      <c r="G149" t="s">
        <v>459</v>
      </c>
      <c r="H149" t="s">
        <v>420</v>
      </c>
    </row>
    <row r="150" spans="1:8" x14ac:dyDescent="0.25">
      <c r="A150">
        <v>378</v>
      </c>
      <c r="B150" t="s">
        <v>126</v>
      </c>
      <c r="C150" t="s">
        <v>127</v>
      </c>
      <c r="D150" t="s">
        <v>756</v>
      </c>
      <c r="E150" t="s">
        <v>757</v>
      </c>
      <c r="F150">
        <v>64</v>
      </c>
      <c r="G150" t="s">
        <v>420</v>
      </c>
      <c r="H150" t="s">
        <v>420</v>
      </c>
    </row>
    <row r="151" spans="1:8" x14ac:dyDescent="0.25">
      <c r="A151">
        <v>605</v>
      </c>
      <c r="B151" t="s">
        <v>90</v>
      </c>
      <c r="C151" t="s">
        <v>91</v>
      </c>
      <c r="D151" t="s">
        <v>758</v>
      </c>
      <c r="E151" t="s">
        <v>759</v>
      </c>
      <c r="F151">
        <v>63</v>
      </c>
      <c r="G151" t="s">
        <v>92</v>
      </c>
      <c r="H151" t="s">
        <v>31</v>
      </c>
    </row>
    <row r="152" spans="1:8" x14ac:dyDescent="0.25">
      <c r="A152">
        <v>490</v>
      </c>
      <c r="B152" t="s">
        <v>45</v>
      </c>
      <c r="C152" t="s">
        <v>278</v>
      </c>
      <c r="D152" t="s">
        <v>760</v>
      </c>
      <c r="E152" t="s">
        <v>761</v>
      </c>
      <c r="F152">
        <v>65</v>
      </c>
      <c r="G152" t="s">
        <v>420</v>
      </c>
      <c r="H152" t="s">
        <v>92</v>
      </c>
    </row>
    <row r="153" spans="1:8" x14ac:dyDescent="0.25">
      <c r="A153">
        <v>606</v>
      </c>
      <c r="B153" t="s">
        <v>190</v>
      </c>
      <c r="C153" t="s">
        <v>315</v>
      </c>
      <c r="D153" t="s">
        <v>762</v>
      </c>
      <c r="E153" t="s">
        <v>763</v>
      </c>
      <c r="F153">
        <v>57</v>
      </c>
      <c r="G153" t="s">
        <v>764</v>
      </c>
      <c r="H153" t="s">
        <v>454</v>
      </c>
    </row>
    <row r="154" spans="1:8" x14ac:dyDescent="0.25">
      <c r="A154">
        <v>593</v>
      </c>
      <c r="B154" t="s">
        <v>29</v>
      </c>
      <c r="C154" t="s">
        <v>332</v>
      </c>
      <c r="D154" t="s">
        <v>765</v>
      </c>
      <c r="E154" t="s">
        <v>766</v>
      </c>
      <c r="F154">
        <v>62</v>
      </c>
      <c r="G154" t="s">
        <v>420</v>
      </c>
      <c r="H154" t="s">
        <v>31</v>
      </c>
    </row>
    <row r="155" spans="1:8" x14ac:dyDescent="0.25">
      <c r="A155">
        <v>609</v>
      </c>
      <c r="B155" t="s">
        <v>29</v>
      </c>
      <c r="C155" t="s">
        <v>211</v>
      </c>
      <c r="D155" t="s">
        <v>767</v>
      </c>
      <c r="E155" t="s">
        <v>768</v>
      </c>
      <c r="F155">
        <v>61</v>
      </c>
      <c r="G155" t="s">
        <v>420</v>
      </c>
      <c r="H155" t="s">
        <v>139</v>
      </c>
    </row>
    <row r="156" spans="1:8" x14ac:dyDescent="0.25">
      <c r="A156">
        <v>483</v>
      </c>
      <c r="B156" t="s">
        <v>245</v>
      </c>
      <c r="C156" t="s">
        <v>246</v>
      </c>
      <c r="D156" t="s">
        <v>769</v>
      </c>
      <c r="E156" t="s">
        <v>770</v>
      </c>
      <c r="F156">
        <v>67</v>
      </c>
      <c r="G156" t="s">
        <v>42</v>
      </c>
      <c r="H156" t="s">
        <v>466</v>
      </c>
    </row>
    <row r="157" spans="1:8" x14ac:dyDescent="0.25">
      <c r="A157">
        <v>586</v>
      </c>
      <c r="B157" t="s">
        <v>45</v>
      </c>
      <c r="C157" t="s">
        <v>46</v>
      </c>
      <c r="D157" t="s">
        <v>771</v>
      </c>
      <c r="E157" t="s">
        <v>772</v>
      </c>
      <c r="F157">
        <v>62</v>
      </c>
      <c r="G157" t="s">
        <v>31</v>
      </c>
      <c r="H157" t="s">
        <v>420</v>
      </c>
    </row>
    <row r="158" spans="1:8" x14ac:dyDescent="0.25">
      <c r="A158">
        <v>218</v>
      </c>
      <c r="B158" t="s">
        <v>98</v>
      </c>
      <c r="C158" t="s">
        <v>325</v>
      </c>
      <c r="D158" t="s">
        <v>773</v>
      </c>
      <c r="E158" t="s">
        <v>774</v>
      </c>
      <c r="F158">
        <v>70</v>
      </c>
      <c r="G158" t="s">
        <v>92</v>
      </c>
      <c r="H158" t="s">
        <v>539</v>
      </c>
    </row>
    <row r="159" spans="1:8" x14ac:dyDescent="0.25">
      <c r="A159">
        <v>539</v>
      </c>
      <c r="B159" t="s">
        <v>112</v>
      </c>
      <c r="C159" t="s">
        <v>270</v>
      </c>
      <c r="D159" t="s">
        <v>775</v>
      </c>
      <c r="E159" t="s">
        <v>776</v>
      </c>
      <c r="F159">
        <v>60</v>
      </c>
      <c r="G159" t="s">
        <v>601</v>
      </c>
      <c r="H159" t="s">
        <v>477</v>
      </c>
    </row>
    <row r="160" spans="1:8" x14ac:dyDescent="0.25">
      <c r="A160">
        <v>76</v>
      </c>
      <c r="B160" t="s">
        <v>66</v>
      </c>
      <c r="C160" t="s">
        <v>236</v>
      </c>
      <c r="D160" t="s">
        <v>777</v>
      </c>
      <c r="E160" t="s">
        <v>778</v>
      </c>
      <c r="F160">
        <v>69</v>
      </c>
      <c r="G160" t="s">
        <v>139</v>
      </c>
      <c r="H160" t="s">
        <v>420</v>
      </c>
    </row>
    <row r="161" spans="1:8" x14ac:dyDescent="0.25">
      <c r="A161">
        <v>529</v>
      </c>
      <c r="B161" t="s">
        <v>204</v>
      </c>
      <c r="C161" t="s">
        <v>205</v>
      </c>
      <c r="D161" t="s">
        <v>779</v>
      </c>
      <c r="E161" t="s">
        <v>780</v>
      </c>
      <c r="F161">
        <v>65</v>
      </c>
      <c r="G161" t="s">
        <v>420</v>
      </c>
      <c r="H161" t="s">
        <v>92</v>
      </c>
    </row>
    <row r="162" spans="1:8" x14ac:dyDescent="0.25">
      <c r="A162">
        <v>591</v>
      </c>
      <c r="B162" t="s">
        <v>158</v>
      </c>
      <c r="C162" t="s">
        <v>263</v>
      </c>
      <c r="D162" t="s">
        <v>781</v>
      </c>
      <c r="E162" t="s">
        <v>782</v>
      </c>
      <c r="F162">
        <v>62</v>
      </c>
      <c r="G162" t="s">
        <v>539</v>
      </c>
      <c r="H162" t="s">
        <v>459</v>
      </c>
    </row>
    <row r="163" spans="1:8" x14ac:dyDescent="0.25">
      <c r="A163">
        <v>614</v>
      </c>
      <c r="B163" t="s">
        <v>233</v>
      </c>
      <c r="C163" t="s">
        <v>234</v>
      </c>
      <c r="D163" t="s">
        <v>783</v>
      </c>
      <c r="E163" t="s">
        <v>784</v>
      </c>
      <c r="F163">
        <v>59</v>
      </c>
      <c r="G163" t="s">
        <v>454</v>
      </c>
      <c r="H163" t="s">
        <v>583</v>
      </c>
    </row>
    <row r="164" spans="1:8" x14ac:dyDescent="0.25">
      <c r="A164">
        <v>334</v>
      </c>
      <c r="B164" t="s">
        <v>123</v>
      </c>
      <c r="C164" t="s">
        <v>135</v>
      </c>
      <c r="D164" t="s">
        <v>785</v>
      </c>
      <c r="E164" t="s">
        <v>786</v>
      </c>
      <c r="F164">
        <v>63</v>
      </c>
      <c r="G164" t="s">
        <v>787</v>
      </c>
      <c r="H164" t="s">
        <v>787</v>
      </c>
    </row>
    <row r="165" spans="1:8" x14ac:dyDescent="0.25">
      <c r="A165">
        <v>431</v>
      </c>
      <c r="B165" t="s">
        <v>79</v>
      </c>
      <c r="C165" t="s">
        <v>80</v>
      </c>
      <c r="D165" t="s">
        <v>788</v>
      </c>
      <c r="E165" t="s">
        <v>789</v>
      </c>
      <c r="F165">
        <v>54</v>
      </c>
      <c r="G165" t="s">
        <v>420</v>
      </c>
      <c r="H165" t="s">
        <v>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9CF14-79DD-463A-BC46-5AC1E9ABFBC5}">
  <dimension ref="A1:P165"/>
  <sheetViews>
    <sheetView workbookViewId="0">
      <selection activeCell="L1" sqref="L1:M1"/>
    </sheetView>
  </sheetViews>
  <sheetFormatPr defaultRowHeight="15" x14ac:dyDescent="0.25"/>
  <cols>
    <col min="2" max="2" width="9.140625" style="10"/>
    <col min="13" max="13" width="15.7109375" bestFit="1" customWidth="1"/>
  </cols>
  <sheetData>
    <row r="1" spans="1:16" x14ac:dyDescent="0.25">
      <c r="A1" t="s">
        <v>0</v>
      </c>
      <c r="B1" s="10" t="s">
        <v>946</v>
      </c>
      <c r="C1" t="s">
        <v>1</v>
      </c>
      <c r="D1" t="s">
        <v>2</v>
      </c>
      <c r="E1" t="s">
        <v>3</v>
      </c>
      <c r="H1" t="s">
        <v>4</v>
      </c>
      <c r="L1" t="s">
        <v>959</v>
      </c>
      <c r="M1" t="s">
        <v>946</v>
      </c>
    </row>
    <row r="2" spans="1:16" x14ac:dyDescent="0.25">
      <c r="A2">
        <v>478</v>
      </c>
      <c r="B2" s="10" t="s">
        <v>791</v>
      </c>
      <c r="C2" t="s">
        <v>29</v>
      </c>
      <c r="D2" t="s">
        <v>30</v>
      </c>
      <c r="E2" t="s">
        <v>31</v>
      </c>
      <c r="F2" t="s">
        <v>459</v>
      </c>
      <c r="G2" t="s">
        <v>459</v>
      </c>
      <c r="H2">
        <v>61</v>
      </c>
      <c r="I2">
        <v>175.1</v>
      </c>
      <c r="L2">
        <v>1</v>
      </c>
      <c r="M2" t="s">
        <v>794</v>
      </c>
      <c r="N2">
        <f t="shared" ref="N2:N15" si="0">COUNTIF(B:B,M2)</f>
        <v>11</v>
      </c>
      <c r="O2">
        <f t="shared" ref="O2:O15" si="1">SUMIF(B:B,M2,I:I)</f>
        <v>1245.2</v>
      </c>
      <c r="P2">
        <f t="shared" ref="P2:P15" si="2">O2/N2</f>
        <v>113.2</v>
      </c>
    </row>
    <row r="3" spans="1:16" x14ac:dyDescent="0.25">
      <c r="A3">
        <v>393</v>
      </c>
      <c r="B3" s="10" t="s">
        <v>796</v>
      </c>
      <c r="C3" t="s">
        <v>35</v>
      </c>
      <c r="D3" t="s">
        <v>36</v>
      </c>
      <c r="E3" t="s">
        <v>37</v>
      </c>
      <c r="F3" t="s">
        <v>420</v>
      </c>
      <c r="G3" t="s">
        <v>420</v>
      </c>
      <c r="H3">
        <v>58</v>
      </c>
      <c r="I3">
        <v>169.6</v>
      </c>
      <c r="L3">
        <v>1</v>
      </c>
      <c r="M3" t="s">
        <v>796</v>
      </c>
      <c r="N3">
        <f t="shared" si="0"/>
        <v>11</v>
      </c>
      <c r="O3">
        <f t="shared" si="1"/>
        <v>1233.5999999999999</v>
      </c>
      <c r="P3">
        <f t="shared" si="2"/>
        <v>112.14545454545454</v>
      </c>
    </row>
    <row r="4" spans="1:16" x14ac:dyDescent="0.25">
      <c r="A4">
        <v>586</v>
      </c>
      <c r="B4" s="10" t="s">
        <v>793</v>
      </c>
      <c r="C4" t="s">
        <v>45</v>
      </c>
      <c r="D4" t="s">
        <v>46</v>
      </c>
      <c r="E4" t="s">
        <v>47</v>
      </c>
      <c r="F4" t="s">
        <v>31</v>
      </c>
      <c r="G4" t="s">
        <v>420</v>
      </c>
      <c r="H4">
        <v>62</v>
      </c>
      <c r="I4">
        <v>156.1</v>
      </c>
      <c r="L4">
        <v>1</v>
      </c>
      <c r="M4" t="s">
        <v>797</v>
      </c>
      <c r="N4">
        <f t="shared" si="0"/>
        <v>11</v>
      </c>
      <c r="O4">
        <f t="shared" si="1"/>
        <v>1202.7</v>
      </c>
      <c r="P4">
        <f t="shared" si="2"/>
        <v>109.33636363636364</v>
      </c>
    </row>
    <row r="5" spans="1:16" x14ac:dyDescent="0.25">
      <c r="A5">
        <v>396</v>
      </c>
      <c r="B5" s="10" t="s">
        <v>795</v>
      </c>
      <c r="C5" t="s">
        <v>51</v>
      </c>
      <c r="D5" t="s">
        <v>52</v>
      </c>
      <c r="E5" t="s">
        <v>37</v>
      </c>
      <c r="F5" t="s">
        <v>574</v>
      </c>
      <c r="G5" t="s">
        <v>438</v>
      </c>
      <c r="H5">
        <v>55</v>
      </c>
      <c r="I5">
        <v>152.30000000000001</v>
      </c>
      <c r="L5">
        <v>1</v>
      </c>
      <c r="M5" t="s">
        <v>793</v>
      </c>
      <c r="N5">
        <f t="shared" si="0"/>
        <v>11</v>
      </c>
      <c r="O5">
        <f t="shared" si="1"/>
        <v>1198.4999999999998</v>
      </c>
      <c r="P5">
        <f t="shared" si="2"/>
        <v>108.95454545454544</v>
      </c>
    </row>
    <row r="6" spans="1:16" x14ac:dyDescent="0.25">
      <c r="A6">
        <v>475</v>
      </c>
      <c r="B6" s="10" t="s">
        <v>800</v>
      </c>
      <c r="C6" t="s">
        <v>54</v>
      </c>
      <c r="D6" t="s">
        <v>55</v>
      </c>
      <c r="E6" t="s">
        <v>31</v>
      </c>
      <c r="F6" t="s">
        <v>459</v>
      </c>
      <c r="G6" t="s">
        <v>420</v>
      </c>
      <c r="H6">
        <v>58</v>
      </c>
      <c r="I6">
        <v>152.19999999999999</v>
      </c>
      <c r="L6">
        <v>1</v>
      </c>
      <c r="M6" t="s">
        <v>790</v>
      </c>
      <c r="N6">
        <f t="shared" si="0"/>
        <v>11</v>
      </c>
      <c r="O6">
        <f t="shared" si="1"/>
        <v>1173</v>
      </c>
      <c r="P6">
        <f t="shared" si="2"/>
        <v>106.63636363636364</v>
      </c>
    </row>
    <row r="7" spans="1:16" x14ac:dyDescent="0.25">
      <c r="A7">
        <v>477</v>
      </c>
      <c r="B7" s="10" t="s">
        <v>792</v>
      </c>
      <c r="C7" t="s">
        <v>58</v>
      </c>
      <c r="D7" t="s">
        <v>59</v>
      </c>
      <c r="E7" t="s">
        <v>31</v>
      </c>
      <c r="F7" t="s">
        <v>31</v>
      </c>
      <c r="G7" t="s">
        <v>42</v>
      </c>
      <c r="H7">
        <v>57</v>
      </c>
      <c r="I7">
        <v>151.5</v>
      </c>
      <c r="L7">
        <v>1</v>
      </c>
      <c r="M7" t="s">
        <v>801</v>
      </c>
      <c r="N7">
        <f t="shared" si="0"/>
        <v>11</v>
      </c>
      <c r="O7">
        <f t="shared" si="1"/>
        <v>1139.7</v>
      </c>
      <c r="P7">
        <f t="shared" si="2"/>
        <v>103.60909090909091</v>
      </c>
    </row>
    <row r="8" spans="1:16" x14ac:dyDescent="0.25">
      <c r="A8">
        <v>474</v>
      </c>
      <c r="B8" s="10" t="s">
        <v>794</v>
      </c>
      <c r="C8" t="s">
        <v>54</v>
      </c>
      <c r="D8" t="s">
        <v>61</v>
      </c>
      <c r="E8" t="s">
        <v>31</v>
      </c>
      <c r="F8" t="s">
        <v>31</v>
      </c>
      <c r="G8" t="s">
        <v>420</v>
      </c>
      <c r="H8">
        <v>57</v>
      </c>
      <c r="I8">
        <v>151.19999999999999</v>
      </c>
      <c r="L8">
        <v>1</v>
      </c>
      <c r="M8" t="s">
        <v>798</v>
      </c>
      <c r="N8">
        <f t="shared" si="0"/>
        <v>11</v>
      </c>
      <c r="O8">
        <f t="shared" si="1"/>
        <v>1115.1000000000001</v>
      </c>
      <c r="P8">
        <f t="shared" si="2"/>
        <v>101.37272727272729</v>
      </c>
    </row>
    <row r="9" spans="1:16" x14ac:dyDescent="0.25">
      <c r="A9">
        <v>492</v>
      </c>
      <c r="B9" s="10" t="s">
        <v>797</v>
      </c>
      <c r="C9" t="s">
        <v>40</v>
      </c>
      <c r="D9" t="s">
        <v>41</v>
      </c>
      <c r="E9" t="s">
        <v>42</v>
      </c>
      <c r="F9" t="s">
        <v>92</v>
      </c>
      <c r="G9" t="s">
        <v>42</v>
      </c>
      <c r="H9">
        <v>68</v>
      </c>
      <c r="I9">
        <v>147.30000000000001</v>
      </c>
      <c r="L9">
        <v>2</v>
      </c>
      <c r="M9" t="s">
        <v>791</v>
      </c>
      <c r="N9">
        <f t="shared" si="0"/>
        <v>11</v>
      </c>
      <c r="O9">
        <f t="shared" si="1"/>
        <v>1250.5999999999997</v>
      </c>
      <c r="P9">
        <f t="shared" si="2"/>
        <v>113.69090909090906</v>
      </c>
    </row>
    <row r="10" spans="1:16" x14ac:dyDescent="0.25">
      <c r="A10">
        <v>454</v>
      </c>
      <c r="B10" s="10" t="s">
        <v>794</v>
      </c>
      <c r="C10" t="s">
        <v>63</v>
      </c>
      <c r="D10" t="s">
        <v>64</v>
      </c>
      <c r="E10" t="s">
        <v>31</v>
      </c>
      <c r="F10" t="s">
        <v>467</v>
      </c>
      <c r="G10" t="s">
        <v>568</v>
      </c>
      <c r="H10">
        <v>63</v>
      </c>
      <c r="I10">
        <v>143.19999999999999</v>
      </c>
      <c r="L10">
        <v>2</v>
      </c>
      <c r="M10" t="s">
        <v>802</v>
      </c>
      <c r="N10">
        <f t="shared" si="0"/>
        <v>11</v>
      </c>
      <c r="O10">
        <f t="shared" si="1"/>
        <v>1235.1000000000001</v>
      </c>
      <c r="P10">
        <f t="shared" si="2"/>
        <v>112.2818181818182</v>
      </c>
    </row>
    <row r="11" spans="1:16" x14ac:dyDescent="0.25">
      <c r="A11">
        <v>301</v>
      </c>
      <c r="B11" s="10" t="s">
        <v>802</v>
      </c>
      <c r="C11" t="s">
        <v>51</v>
      </c>
      <c r="D11" t="s">
        <v>76</v>
      </c>
      <c r="E11" t="s">
        <v>77</v>
      </c>
      <c r="F11" t="s">
        <v>139</v>
      </c>
      <c r="G11" t="s">
        <v>192</v>
      </c>
      <c r="H11">
        <v>62</v>
      </c>
      <c r="I11">
        <v>131.5</v>
      </c>
      <c r="L11">
        <v>2</v>
      </c>
      <c r="M11" t="s">
        <v>800</v>
      </c>
      <c r="N11">
        <f t="shared" si="0"/>
        <v>11</v>
      </c>
      <c r="O11">
        <f t="shared" si="1"/>
        <v>1215.7</v>
      </c>
      <c r="P11">
        <f t="shared" si="2"/>
        <v>110.51818181818182</v>
      </c>
    </row>
    <row r="12" spans="1:16" x14ac:dyDescent="0.25">
      <c r="A12">
        <v>476</v>
      </c>
      <c r="B12" s="10" t="s">
        <v>797</v>
      </c>
      <c r="C12" t="s">
        <v>69</v>
      </c>
      <c r="D12" t="s">
        <v>70</v>
      </c>
      <c r="E12" t="s">
        <v>71</v>
      </c>
      <c r="F12" t="s">
        <v>459</v>
      </c>
      <c r="G12" t="s">
        <v>420</v>
      </c>
      <c r="H12">
        <v>60</v>
      </c>
      <c r="I12">
        <v>141.30000000000001</v>
      </c>
      <c r="L12">
        <v>2</v>
      </c>
      <c r="M12" t="s">
        <v>792</v>
      </c>
      <c r="N12">
        <f t="shared" si="0"/>
        <v>11</v>
      </c>
      <c r="O12">
        <f t="shared" si="1"/>
        <v>1215.5999999999999</v>
      </c>
      <c r="P12">
        <f t="shared" si="2"/>
        <v>110.5090909090909</v>
      </c>
    </row>
    <row r="13" spans="1:16" x14ac:dyDescent="0.25">
      <c r="A13">
        <v>431</v>
      </c>
      <c r="B13" s="10" t="s">
        <v>790</v>
      </c>
      <c r="C13" t="s">
        <v>79</v>
      </c>
      <c r="D13" t="s">
        <v>80</v>
      </c>
      <c r="E13" t="s">
        <v>37</v>
      </c>
      <c r="F13" t="s">
        <v>420</v>
      </c>
      <c r="G13" t="s">
        <v>31</v>
      </c>
      <c r="H13">
        <v>54</v>
      </c>
      <c r="I13">
        <v>139.5</v>
      </c>
      <c r="L13">
        <v>2</v>
      </c>
      <c r="M13" t="s">
        <v>803</v>
      </c>
      <c r="N13">
        <f t="shared" si="0"/>
        <v>11</v>
      </c>
      <c r="O13">
        <f t="shared" si="1"/>
        <v>1168.1999999999998</v>
      </c>
      <c r="P13">
        <f t="shared" si="2"/>
        <v>106.19999999999999</v>
      </c>
    </row>
    <row r="14" spans="1:16" x14ac:dyDescent="0.25">
      <c r="A14">
        <v>611</v>
      </c>
      <c r="B14" s="10" t="s">
        <v>802</v>
      </c>
      <c r="C14" t="s">
        <v>83</v>
      </c>
      <c r="D14" t="s">
        <v>84</v>
      </c>
      <c r="E14" t="s">
        <v>77</v>
      </c>
      <c r="F14" t="s">
        <v>420</v>
      </c>
      <c r="G14" t="s">
        <v>420</v>
      </c>
      <c r="H14">
        <v>55</v>
      </c>
      <c r="I14">
        <v>139.19999999999999</v>
      </c>
      <c r="L14">
        <v>2</v>
      </c>
      <c r="M14" t="s">
        <v>795</v>
      </c>
      <c r="N14">
        <f t="shared" si="0"/>
        <v>11</v>
      </c>
      <c r="O14">
        <f t="shared" si="1"/>
        <v>1165.8</v>
      </c>
      <c r="P14">
        <f t="shared" si="2"/>
        <v>105.98181818181818</v>
      </c>
    </row>
    <row r="15" spans="1:16" x14ac:dyDescent="0.25">
      <c r="A15">
        <v>503</v>
      </c>
      <c r="B15" s="10" t="s">
        <v>799</v>
      </c>
      <c r="C15" t="s">
        <v>66</v>
      </c>
      <c r="D15" t="s">
        <v>67</v>
      </c>
      <c r="E15" t="s">
        <v>37</v>
      </c>
      <c r="F15" t="s">
        <v>420</v>
      </c>
      <c r="G15" t="s">
        <v>192</v>
      </c>
      <c r="H15">
        <v>54</v>
      </c>
      <c r="I15">
        <v>138.6</v>
      </c>
      <c r="L15">
        <v>2</v>
      </c>
      <c r="M15" t="s">
        <v>799</v>
      </c>
      <c r="N15">
        <f t="shared" si="0"/>
        <v>11</v>
      </c>
      <c r="O15">
        <f t="shared" si="1"/>
        <v>1154.1000000000001</v>
      </c>
      <c r="P15">
        <f t="shared" si="2"/>
        <v>104.91818181818184</v>
      </c>
    </row>
    <row r="16" spans="1:16" x14ac:dyDescent="0.25">
      <c r="A16">
        <v>569</v>
      </c>
      <c r="B16" s="10" t="s">
        <v>801</v>
      </c>
      <c r="C16" t="s">
        <v>87</v>
      </c>
      <c r="D16" t="s">
        <v>88</v>
      </c>
      <c r="E16" t="s">
        <v>37</v>
      </c>
      <c r="F16" t="s">
        <v>420</v>
      </c>
      <c r="G16" t="s">
        <v>420</v>
      </c>
      <c r="H16">
        <v>54</v>
      </c>
      <c r="I16">
        <v>138.1</v>
      </c>
    </row>
    <row r="17" spans="1:9" x14ac:dyDescent="0.25">
      <c r="A17">
        <v>468</v>
      </c>
      <c r="B17" s="10" t="s">
        <v>796</v>
      </c>
      <c r="C17" t="s">
        <v>73</v>
      </c>
      <c r="D17" t="s">
        <v>74</v>
      </c>
      <c r="E17" t="s">
        <v>71</v>
      </c>
      <c r="F17" t="s">
        <v>71</v>
      </c>
      <c r="G17" t="s">
        <v>438</v>
      </c>
      <c r="H17">
        <v>64</v>
      </c>
      <c r="I17">
        <v>135.69999999999999</v>
      </c>
    </row>
    <row r="18" spans="1:9" x14ac:dyDescent="0.25">
      <c r="A18">
        <v>605</v>
      </c>
      <c r="B18" s="10" t="s">
        <v>803</v>
      </c>
      <c r="C18" t="s">
        <v>90</v>
      </c>
      <c r="D18" t="s">
        <v>91</v>
      </c>
      <c r="E18" t="s">
        <v>92</v>
      </c>
      <c r="F18" t="s">
        <v>92</v>
      </c>
      <c r="G18" t="s">
        <v>31</v>
      </c>
      <c r="H18">
        <v>63</v>
      </c>
      <c r="I18">
        <v>133.9</v>
      </c>
    </row>
    <row r="19" spans="1:9" x14ac:dyDescent="0.25">
      <c r="A19">
        <v>485</v>
      </c>
      <c r="B19" s="10" t="s">
        <v>799</v>
      </c>
      <c r="C19" t="s">
        <v>96</v>
      </c>
      <c r="D19" t="s">
        <v>97</v>
      </c>
      <c r="E19" t="s">
        <v>77</v>
      </c>
      <c r="F19" t="s">
        <v>586</v>
      </c>
      <c r="G19" t="s">
        <v>586</v>
      </c>
      <c r="H19">
        <v>55</v>
      </c>
      <c r="I19">
        <v>133</v>
      </c>
    </row>
    <row r="20" spans="1:9" x14ac:dyDescent="0.25">
      <c r="A20">
        <v>566</v>
      </c>
      <c r="B20" s="10" t="s">
        <v>792</v>
      </c>
      <c r="C20" t="s">
        <v>81</v>
      </c>
      <c r="D20" t="s">
        <v>82</v>
      </c>
      <c r="E20" t="s">
        <v>47</v>
      </c>
      <c r="F20" t="s">
        <v>526</v>
      </c>
      <c r="G20" t="s">
        <v>526</v>
      </c>
      <c r="H20">
        <v>52</v>
      </c>
      <c r="I20">
        <v>132.69999999999999</v>
      </c>
    </row>
    <row r="21" spans="1:9" x14ac:dyDescent="0.25">
      <c r="A21">
        <v>577</v>
      </c>
      <c r="B21" s="10" t="s">
        <v>791</v>
      </c>
      <c r="C21" t="s">
        <v>100</v>
      </c>
      <c r="D21" t="s">
        <v>101</v>
      </c>
      <c r="E21" t="s">
        <v>71</v>
      </c>
      <c r="F21" t="s">
        <v>31</v>
      </c>
      <c r="G21" t="s">
        <v>92</v>
      </c>
      <c r="H21">
        <v>65</v>
      </c>
      <c r="I21">
        <v>131.19999999999999</v>
      </c>
    </row>
    <row r="22" spans="1:9" x14ac:dyDescent="0.25">
      <c r="A22">
        <v>296</v>
      </c>
      <c r="B22" s="10" t="s">
        <v>801</v>
      </c>
      <c r="C22" t="s">
        <v>104</v>
      </c>
      <c r="D22" t="s">
        <v>105</v>
      </c>
      <c r="E22" t="s">
        <v>31</v>
      </c>
      <c r="F22" t="s">
        <v>31</v>
      </c>
      <c r="G22" t="s">
        <v>31</v>
      </c>
      <c r="H22">
        <v>65</v>
      </c>
      <c r="I22">
        <v>130.30000000000001</v>
      </c>
    </row>
    <row r="23" spans="1:9" x14ac:dyDescent="0.25">
      <c r="A23">
        <v>458</v>
      </c>
      <c r="B23" s="10" t="s">
        <v>792</v>
      </c>
      <c r="C23" t="s">
        <v>100</v>
      </c>
      <c r="D23" t="s">
        <v>108</v>
      </c>
      <c r="E23" t="s">
        <v>47</v>
      </c>
      <c r="F23" t="s">
        <v>438</v>
      </c>
      <c r="G23" t="s">
        <v>92</v>
      </c>
      <c r="H23">
        <v>56</v>
      </c>
      <c r="I23">
        <v>128.80000000000001</v>
      </c>
    </row>
    <row r="24" spans="1:9" x14ac:dyDescent="0.25">
      <c r="A24">
        <v>546</v>
      </c>
      <c r="B24" s="10" t="s">
        <v>793</v>
      </c>
      <c r="C24" t="s">
        <v>109</v>
      </c>
      <c r="D24" t="s">
        <v>110</v>
      </c>
      <c r="E24" t="s">
        <v>31</v>
      </c>
      <c r="F24" t="s">
        <v>31</v>
      </c>
      <c r="G24" t="s">
        <v>92</v>
      </c>
      <c r="H24">
        <v>58</v>
      </c>
      <c r="I24">
        <v>128.5</v>
      </c>
    </row>
    <row r="25" spans="1:9" x14ac:dyDescent="0.25">
      <c r="A25">
        <v>324</v>
      </c>
      <c r="B25" s="10" t="s">
        <v>793</v>
      </c>
      <c r="C25" t="s">
        <v>98</v>
      </c>
      <c r="D25" t="s">
        <v>99</v>
      </c>
      <c r="E25" t="s">
        <v>37</v>
      </c>
      <c r="F25" t="s">
        <v>420</v>
      </c>
      <c r="G25" t="s">
        <v>139</v>
      </c>
      <c r="H25">
        <v>66</v>
      </c>
      <c r="I25">
        <v>128.30000000000001</v>
      </c>
    </row>
    <row r="26" spans="1:9" x14ac:dyDescent="0.25">
      <c r="A26">
        <v>523</v>
      </c>
      <c r="B26" s="10" t="s">
        <v>795</v>
      </c>
      <c r="C26" t="s">
        <v>112</v>
      </c>
      <c r="D26" t="s">
        <v>113</v>
      </c>
      <c r="E26" t="s">
        <v>71</v>
      </c>
      <c r="F26" t="s">
        <v>459</v>
      </c>
      <c r="G26" t="s">
        <v>420</v>
      </c>
      <c r="H26">
        <v>61</v>
      </c>
      <c r="I26">
        <v>127.7</v>
      </c>
    </row>
    <row r="27" spans="1:9" x14ac:dyDescent="0.25">
      <c r="B27" s="10" t="s">
        <v>803</v>
      </c>
      <c r="C27" t="s">
        <v>215</v>
      </c>
      <c r="D27" t="s">
        <v>401</v>
      </c>
      <c r="E27" t="s">
        <v>37</v>
      </c>
      <c r="F27" t="s">
        <v>420</v>
      </c>
      <c r="G27" t="s">
        <v>139</v>
      </c>
      <c r="I27">
        <v>126</v>
      </c>
    </row>
    <row r="28" spans="1:9" x14ac:dyDescent="0.25">
      <c r="A28">
        <v>504</v>
      </c>
      <c r="B28" s="10" t="s">
        <v>800</v>
      </c>
      <c r="C28" t="s">
        <v>114</v>
      </c>
      <c r="D28" t="s">
        <v>115</v>
      </c>
      <c r="E28" t="s">
        <v>92</v>
      </c>
      <c r="F28" t="s">
        <v>688</v>
      </c>
      <c r="G28" t="s">
        <v>688</v>
      </c>
      <c r="H28">
        <v>65</v>
      </c>
      <c r="I28">
        <v>125.7</v>
      </c>
    </row>
    <row r="29" spans="1:9" x14ac:dyDescent="0.25">
      <c r="A29">
        <v>574</v>
      </c>
      <c r="B29" s="10" t="s">
        <v>797</v>
      </c>
      <c r="C29" t="s">
        <v>117</v>
      </c>
      <c r="D29" t="s">
        <v>118</v>
      </c>
      <c r="E29" t="s">
        <v>37</v>
      </c>
      <c r="F29" t="s">
        <v>420</v>
      </c>
      <c r="G29" t="s">
        <v>608</v>
      </c>
      <c r="H29">
        <v>56</v>
      </c>
      <c r="I29">
        <v>124.3</v>
      </c>
    </row>
    <row r="30" spans="1:9" x14ac:dyDescent="0.25">
      <c r="A30">
        <v>412</v>
      </c>
      <c r="B30" s="10" t="s">
        <v>790</v>
      </c>
      <c r="C30" t="s">
        <v>120</v>
      </c>
      <c r="D30" t="s">
        <v>121</v>
      </c>
      <c r="E30" t="s">
        <v>77</v>
      </c>
      <c r="F30" t="s">
        <v>420</v>
      </c>
      <c r="G30" t="s">
        <v>31</v>
      </c>
      <c r="H30">
        <v>64</v>
      </c>
      <c r="I30">
        <v>122.9</v>
      </c>
    </row>
    <row r="31" spans="1:9" x14ac:dyDescent="0.25">
      <c r="A31">
        <v>585</v>
      </c>
      <c r="B31" s="10" t="s">
        <v>803</v>
      </c>
      <c r="C31" t="s">
        <v>123</v>
      </c>
      <c r="D31" t="s">
        <v>124</v>
      </c>
      <c r="E31" t="s">
        <v>31</v>
      </c>
      <c r="F31" t="s">
        <v>425</v>
      </c>
      <c r="G31" t="s">
        <v>425</v>
      </c>
      <c r="H31">
        <v>66</v>
      </c>
      <c r="I31">
        <v>122.7</v>
      </c>
    </row>
    <row r="32" spans="1:9" x14ac:dyDescent="0.25">
      <c r="B32" s="10" t="s">
        <v>803</v>
      </c>
      <c r="C32" t="s">
        <v>351</v>
      </c>
      <c r="D32" t="s">
        <v>406</v>
      </c>
      <c r="E32" t="s">
        <v>37</v>
      </c>
      <c r="F32" t="s">
        <v>420</v>
      </c>
      <c r="G32" t="s">
        <v>420</v>
      </c>
      <c r="I32">
        <v>122</v>
      </c>
    </row>
    <row r="33" spans="1:9" x14ac:dyDescent="0.25">
      <c r="A33">
        <v>334</v>
      </c>
      <c r="B33" s="10" t="s">
        <v>802</v>
      </c>
      <c r="C33" t="s">
        <v>123</v>
      </c>
      <c r="D33" t="s">
        <v>135</v>
      </c>
      <c r="E33" t="s">
        <v>136</v>
      </c>
      <c r="F33" t="s">
        <v>787</v>
      </c>
      <c r="G33" t="s">
        <v>787</v>
      </c>
      <c r="H33">
        <v>63</v>
      </c>
      <c r="I33">
        <v>120.9</v>
      </c>
    </row>
    <row r="34" spans="1:9" x14ac:dyDescent="0.25">
      <c r="A34">
        <v>378</v>
      </c>
      <c r="B34" s="10" t="s">
        <v>799</v>
      </c>
      <c r="C34" t="s">
        <v>126</v>
      </c>
      <c r="D34" t="s">
        <v>127</v>
      </c>
      <c r="E34" t="s">
        <v>37</v>
      </c>
      <c r="F34" t="s">
        <v>420</v>
      </c>
      <c r="G34" t="s">
        <v>420</v>
      </c>
      <c r="H34">
        <v>64</v>
      </c>
      <c r="I34">
        <v>120.8</v>
      </c>
    </row>
    <row r="35" spans="1:9" x14ac:dyDescent="0.25">
      <c r="B35" s="10" t="s">
        <v>802</v>
      </c>
      <c r="C35" t="s">
        <v>120</v>
      </c>
      <c r="D35" t="s">
        <v>408</v>
      </c>
      <c r="E35" t="s">
        <v>71</v>
      </c>
      <c r="F35" t="s">
        <v>649</v>
      </c>
      <c r="G35" t="s">
        <v>139</v>
      </c>
      <c r="I35">
        <v>120</v>
      </c>
    </row>
    <row r="36" spans="1:9" x14ac:dyDescent="0.25">
      <c r="A36">
        <v>462</v>
      </c>
      <c r="B36" s="10" t="s">
        <v>790</v>
      </c>
      <c r="C36" t="s">
        <v>129</v>
      </c>
      <c r="D36" t="s">
        <v>130</v>
      </c>
      <c r="E36" t="s">
        <v>71</v>
      </c>
      <c r="F36" t="s">
        <v>459</v>
      </c>
      <c r="G36" t="s">
        <v>459</v>
      </c>
      <c r="H36">
        <v>61</v>
      </c>
      <c r="I36">
        <v>119.1</v>
      </c>
    </row>
    <row r="37" spans="1:9" x14ac:dyDescent="0.25">
      <c r="A37">
        <v>588</v>
      </c>
      <c r="B37" s="10" t="s">
        <v>794</v>
      </c>
      <c r="C37" t="s">
        <v>132</v>
      </c>
      <c r="D37" t="s">
        <v>133</v>
      </c>
      <c r="E37" t="s">
        <v>77</v>
      </c>
      <c r="F37" t="s">
        <v>420</v>
      </c>
      <c r="G37" t="s">
        <v>92</v>
      </c>
      <c r="H37">
        <v>60</v>
      </c>
      <c r="I37">
        <v>119</v>
      </c>
    </row>
    <row r="38" spans="1:9" x14ac:dyDescent="0.25">
      <c r="B38" s="10" t="s">
        <v>802</v>
      </c>
      <c r="C38" t="s">
        <v>399</v>
      </c>
      <c r="D38" t="s">
        <v>170</v>
      </c>
      <c r="E38" t="s">
        <v>71</v>
      </c>
      <c r="F38" t="s">
        <v>492</v>
      </c>
      <c r="G38" t="s">
        <v>42</v>
      </c>
      <c r="I38">
        <v>119</v>
      </c>
    </row>
    <row r="39" spans="1:9" x14ac:dyDescent="0.25">
      <c r="A39">
        <v>233</v>
      </c>
      <c r="B39" s="10" t="s">
        <v>796</v>
      </c>
      <c r="C39" t="s">
        <v>141</v>
      </c>
      <c r="D39" t="s">
        <v>142</v>
      </c>
      <c r="E39" t="s">
        <v>143</v>
      </c>
      <c r="F39" t="s">
        <v>420</v>
      </c>
      <c r="G39" t="s">
        <v>31</v>
      </c>
      <c r="H39">
        <v>68</v>
      </c>
      <c r="I39">
        <v>118.3</v>
      </c>
    </row>
    <row r="40" spans="1:9" x14ac:dyDescent="0.25">
      <c r="A40">
        <v>428</v>
      </c>
      <c r="B40" s="10" t="s">
        <v>794</v>
      </c>
      <c r="C40" t="s">
        <v>145</v>
      </c>
      <c r="D40" t="s">
        <v>146</v>
      </c>
      <c r="E40" t="s">
        <v>37</v>
      </c>
      <c r="F40" t="s">
        <v>749</v>
      </c>
      <c r="G40" t="s">
        <v>420</v>
      </c>
      <c r="H40">
        <v>54</v>
      </c>
      <c r="I40">
        <v>118.3</v>
      </c>
    </row>
    <row r="41" spans="1:9" x14ac:dyDescent="0.25">
      <c r="A41">
        <v>126</v>
      </c>
      <c r="B41" s="10" t="s">
        <v>793</v>
      </c>
      <c r="C41" t="s">
        <v>54</v>
      </c>
      <c r="D41" t="s">
        <v>148</v>
      </c>
      <c r="E41" t="s">
        <v>77</v>
      </c>
      <c r="F41" t="s">
        <v>420</v>
      </c>
      <c r="G41" t="s">
        <v>139</v>
      </c>
      <c r="H41">
        <v>71</v>
      </c>
      <c r="I41">
        <v>118.1</v>
      </c>
    </row>
    <row r="42" spans="1:9" x14ac:dyDescent="0.25">
      <c r="A42">
        <v>383</v>
      </c>
      <c r="B42" s="10" t="s">
        <v>798</v>
      </c>
      <c r="C42" t="s">
        <v>66</v>
      </c>
      <c r="D42" t="s">
        <v>150</v>
      </c>
      <c r="E42" t="s">
        <v>37</v>
      </c>
      <c r="F42" t="s">
        <v>420</v>
      </c>
      <c r="G42" t="s">
        <v>420</v>
      </c>
      <c r="H42">
        <v>60</v>
      </c>
      <c r="I42">
        <v>117.7</v>
      </c>
    </row>
    <row r="43" spans="1:9" x14ac:dyDescent="0.25">
      <c r="A43">
        <v>484</v>
      </c>
      <c r="B43" s="10" t="s">
        <v>794</v>
      </c>
      <c r="C43" t="s">
        <v>152</v>
      </c>
      <c r="D43" t="s">
        <v>153</v>
      </c>
      <c r="E43" t="s">
        <v>37</v>
      </c>
      <c r="F43" t="s">
        <v>438</v>
      </c>
      <c r="G43" t="s">
        <v>459</v>
      </c>
      <c r="H43">
        <v>70</v>
      </c>
      <c r="I43">
        <v>117.5</v>
      </c>
    </row>
    <row r="44" spans="1:9" x14ac:dyDescent="0.25">
      <c r="A44">
        <v>159</v>
      </c>
      <c r="B44" s="10" t="s">
        <v>796</v>
      </c>
      <c r="C44" t="s">
        <v>155</v>
      </c>
      <c r="D44" t="s">
        <v>156</v>
      </c>
      <c r="E44" t="s">
        <v>31</v>
      </c>
      <c r="F44" t="s">
        <v>31</v>
      </c>
      <c r="G44" t="s">
        <v>71</v>
      </c>
      <c r="H44">
        <v>65</v>
      </c>
      <c r="I44">
        <v>117.4</v>
      </c>
    </row>
    <row r="45" spans="1:9" x14ac:dyDescent="0.25">
      <c r="A45">
        <v>565</v>
      </c>
      <c r="B45" s="10" t="s">
        <v>798</v>
      </c>
      <c r="C45" t="s">
        <v>158</v>
      </c>
      <c r="D45" t="s">
        <v>88</v>
      </c>
      <c r="E45" t="s">
        <v>37</v>
      </c>
      <c r="F45" t="s">
        <v>420</v>
      </c>
      <c r="G45" t="s">
        <v>420</v>
      </c>
      <c r="H45">
        <v>67</v>
      </c>
      <c r="I45">
        <v>117.3</v>
      </c>
    </row>
    <row r="46" spans="1:9" x14ac:dyDescent="0.25">
      <c r="A46">
        <v>229</v>
      </c>
      <c r="B46" s="10" t="s">
        <v>792</v>
      </c>
      <c r="C46" t="s">
        <v>66</v>
      </c>
      <c r="D46" t="s">
        <v>168</v>
      </c>
      <c r="E46" t="s">
        <v>47</v>
      </c>
      <c r="F46" t="s">
        <v>420</v>
      </c>
      <c r="G46" t="s">
        <v>92</v>
      </c>
      <c r="H46">
        <v>69</v>
      </c>
      <c r="I46">
        <v>117.2</v>
      </c>
    </row>
    <row r="47" spans="1:9" x14ac:dyDescent="0.25">
      <c r="A47">
        <v>597</v>
      </c>
      <c r="B47" s="10" t="s">
        <v>791</v>
      </c>
      <c r="C47" t="s">
        <v>160</v>
      </c>
      <c r="D47" t="s">
        <v>161</v>
      </c>
      <c r="E47" t="s">
        <v>31</v>
      </c>
      <c r="F47" t="s">
        <v>746</v>
      </c>
      <c r="G47" t="s">
        <v>420</v>
      </c>
      <c r="H47">
        <v>59</v>
      </c>
      <c r="I47">
        <v>116.9</v>
      </c>
    </row>
    <row r="48" spans="1:9" x14ac:dyDescent="0.25">
      <c r="A48">
        <v>595</v>
      </c>
      <c r="B48" s="10" t="s">
        <v>791</v>
      </c>
      <c r="C48" t="s">
        <v>169</v>
      </c>
      <c r="D48" t="s">
        <v>170</v>
      </c>
      <c r="E48" t="s">
        <v>47</v>
      </c>
      <c r="F48" t="s">
        <v>420</v>
      </c>
      <c r="G48" t="s">
        <v>31</v>
      </c>
      <c r="H48">
        <v>62</v>
      </c>
      <c r="I48">
        <v>116.9</v>
      </c>
    </row>
    <row r="49" spans="1:9" x14ac:dyDescent="0.25">
      <c r="A49">
        <v>434</v>
      </c>
      <c r="B49" s="10" t="s">
        <v>795</v>
      </c>
      <c r="C49" t="s">
        <v>112</v>
      </c>
      <c r="D49" t="s">
        <v>163</v>
      </c>
      <c r="E49" t="s">
        <v>47</v>
      </c>
      <c r="F49" t="s">
        <v>420</v>
      </c>
      <c r="G49" t="s">
        <v>420</v>
      </c>
      <c r="H49">
        <v>69</v>
      </c>
      <c r="I49">
        <v>116.8</v>
      </c>
    </row>
    <row r="50" spans="1:9" x14ac:dyDescent="0.25">
      <c r="A50">
        <v>373</v>
      </c>
      <c r="B50" s="10" t="s">
        <v>796</v>
      </c>
      <c r="C50" t="s">
        <v>165</v>
      </c>
      <c r="D50" t="s">
        <v>166</v>
      </c>
      <c r="E50" t="s">
        <v>139</v>
      </c>
      <c r="F50" t="s">
        <v>568</v>
      </c>
      <c r="G50" t="s">
        <v>569</v>
      </c>
      <c r="H50">
        <v>60</v>
      </c>
      <c r="I50">
        <v>116.6</v>
      </c>
    </row>
    <row r="51" spans="1:9" x14ac:dyDescent="0.25">
      <c r="A51">
        <v>537</v>
      </c>
      <c r="B51" s="10" t="s">
        <v>790</v>
      </c>
      <c r="C51" t="s">
        <v>183</v>
      </c>
      <c r="D51" t="s">
        <v>184</v>
      </c>
      <c r="E51" t="s">
        <v>47</v>
      </c>
      <c r="F51" t="s">
        <v>420</v>
      </c>
      <c r="G51" t="s">
        <v>420</v>
      </c>
      <c r="H51">
        <v>67</v>
      </c>
      <c r="I51">
        <v>116.3</v>
      </c>
    </row>
    <row r="52" spans="1:9" x14ac:dyDescent="0.25">
      <c r="A52">
        <v>556</v>
      </c>
      <c r="B52" s="10" t="s">
        <v>800</v>
      </c>
      <c r="C52" t="s">
        <v>87</v>
      </c>
      <c r="D52" t="s">
        <v>174</v>
      </c>
      <c r="E52" t="s">
        <v>92</v>
      </c>
      <c r="F52" t="s">
        <v>454</v>
      </c>
      <c r="G52" t="s">
        <v>601</v>
      </c>
      <c r="H52">
        <v>54</v>
      </c>
      <c r="I52">
        <v>115.6</v>
      </c>
    </row>
    <row r="53" spans="1:9" x14ac:dyDescent="0.25">
      <c r="A53">
        <v>571</v>
      </c>
      <c r="B53" s="10" t="s">
        <v>791</v>
      </c>
      <c r="C53" t="s">
        <v>90</v>
      </c>
      <c r="D53" t="s">
        <v>175</v>
      </c>
      <c r="E53" t="s">
        <v>92</v>
      </c>
      <c r="F53" t="s">
        <v>42</v>
      </c>
      <c r="G53" t="s">
        <v>92</v>
      </c>
      <c r="H53">
        <v>64</v>
      </c>
      <c r="I53">
        <v>115.6</v>
      </c>
    </row>
    <row r="54" spans="1:9" x14ac:dyDescent="0.25">
      <c r="A54">
        <v>587</v>
      </c>
      <c r="B54" s="10" t="s">
        <v>792</v>
      </c>
      <c r="C54" t="s">
        <v>178</v>
      </c>
      <c r="D54" t="s">
        <v>179</v>
      </c>
      <c r="E54" t="s">
        <v>92</v>
      </c>
      <c r="F54" t="s">
        <v>539</v>
      </c>
      <c r="G54" t="s">
        <v>420</v>
      </c>
      <c r="H54">
        <v>58</v>
      </c>
      <c r="I54">
        <v>115.6</v>
      </c>
    </row>
    <row r="55" spans="1:9" x14ac:dyDescent="0.25">
      <c r="A55">
        <v>596</v>
      </c>
      <c r="B55" s="10" t="s">
        <v>798</v>
      </c>
      <c r="C55" t="s">
        <v>180</v>
      </c>
      <c r="D55" t="s">
        <v>181</v>
      </c>
      <c r="E55" t="s">
        <v>31</v>
      </c>
      <c r="F55" t="s">
        <v>425</v>
      </c>
      <c r="G55" t="s">
        <v>428</v>
      </c>
      <c r="H55">
        <v>58</v>
      </c>
      <c r="I55">
        <v>115.6</v>
      </c>
    </row>
    <row r="56" spans="1:9" x14ac:dyDescent="0.25">
      <c r="A56">
        <v>514</v>
      </c>
      <c r="B56" s="10" t="s">
        <v>792</v>
      </c>
      <c r="C56" t="s">
        <v>123</v>
      </c>
      <c r="D56" t="s">
        <v>186</v>
      </c>
      <c r="E56" t="s">
        <v>37</v>
      </c>
      <c r="F56" t="s">
        <v>446</v>
      </c>
      <c r="G56" t="s">
        <v>420</v>
      </c>
      <c r="H56">
        <v>60</v>
      </c>
      <c r="I56">
        <v>115.2</v>
      </c>
    </row>
    <row r="57" spans="1:9" x14ac:dyDescent="0.25">
      <c r="B57" s="10" t="s">
        <v>802</v>
      </c>
      <c r="C57" t="s">
        <v>35</v>
      </c>
      <c r="D57" t="s">
        <v>306</v>
      </c>
      <c r="E57" t="s">
        <v>139</v>
      </c>
      <c r="F57" t="s">
        <v>705</v>
      </c>
      <c r="G57" t="s">
        <v>706</v>
      </c>
      <c r="I57">
        <v>115</v>
      </c>
    </row>
    <row r="58" spans="1:9" x14ac:dyDescent="0.25">
      <c r="A58">
        <v>615</v>
      </c>
      <c r="B58" s="10" t="s">
        <v>803</v>
      </c>
      <c r="C58" t="s">
        <v>187</v>
      </c>
      <c r="D58" t="s">
        <v>188</v>
      </c>
      <c r="E58" t="s">
        <v>189</v>
      </c>
      <c r="F58" t="s">
        <v>420</v>
      </c>
      <c r="G58" t="s">
        <v>31</v>
      </c>
      <c r="H58">
        <v>55</v>
      </c>
      <c r="I58">
        <v>114.8</v>
      </c>
    </row>
    <row r="59" spans="1:9" x14ac:dyDescent="0.25">
      <c r="A59">
        <v>374</v>
      </c>
      <c r="B59" s="10" t="s">
        <v>794</v>
      </c>
      <c r="C59" t="s">
        <v>169</v>
      </c>
      <c r="D59" t="s">
        <v>172</v>
      </c>
      <c r="E59" t="s">
        <v>77</v>
      </c>
      <c r="F59" t="s">
        <v>420</v>
      </c>
      <c r="G59" t="s">
        <v>420</v>
      </c>
      <c r="H59">
        <v>67</v>
      </c>
      <c r="I59">
        <v>114.7</v>
      </c>
    </row>
    <row r="60" spans="1:9" x14ac:dyDescent="0.25">
      <c r="A60">
        <v>610</v>
      </c>
      <c r="B60" s="10" t="s">
        <v>793</v>
      </c>
      <c r="C60" t="s">
        <v>190</v>
      </c>
      <c r="D60" t="s">
        <v>191</v>
      </c>
      <c r="E60" t="s">
        <v>192</v>
      </c>
      <c r="F60" t="s">
        <v>192</v>
      </c>
      <c r="G60" t="s">
        <v>92</v>
      </c>
      <c r="H60">
        <v>54</v>
      </c>
      <c r="I60">
        <v>114.4</v>
      </c>
    </row>
    <row r="61" spans="1:9" x14ac:dyDescent="0.25">
      <c r="A61">
        <v>467</v>
      </c>
      <c r="B61" s="10" t="s">
        <v>790</v>
      </c>
      <c r="C61" t="s">
        <v>45</v>
      </c>
      <c r="D61" t="s">
        <v>198</v>
      </c>
      <c r="E61" t="s">
        <v>47</v>
      </c>
      <c r="F61" t="s">
        <v>420</v>
      </c>
      <c r="G61" t="s">
        <v>586</v>
      </c>
      <c r="H61">
        <v>62</v>
      </c>
      <c r="I61">
        <v>113.6</v>
      </c>
    </row>
    <row r="62" spans="1:9" x14ac:dyDescent="0.25">
      <c r="A62">
        <v>513</v>
      </c>
      <c r="B62" s="10" t="s">
        <v>800</v>
      </c>
      <c r="C62" t="s">
        <v>126</v>
      </c>
      <c r="D62" t="s">
        <v>194</v>
      </c>
      <c r="E62" t="s">
        <v>77</v>
      </c>
      <c r="F62" t="s">
        <v>420</v>
      </c>
      <c r="G62" t="s">
        <v>420</v>
      </c>
      <c r="H62">
        <v>55</v>
      </c>
      <c r="I62">
        <v>113.2</v>
      </c>
    </row>
    <row r="63" spans="1:9" x14ac:dyDescent="0.25">
      <c r="A63">
        <v>530</v>
      </c>
      <c r="B63" s="10" t="s">
        <v>800</v>
      </c>
      <c r="C63" t="s">
        <v>35</v>
      </c>
      <c r="D63" t="s">
        <v>196</v>
      </c>
      <c r="E63" t="s">
        <v>143</v>
      </c>
      <c r="F63" t="s">
        <v>420</v>
      </c>
      <c r="G63" t="s">
        <v>139</v>
      </c>
      <c r="I63">
        <v>112.6</v>
      </c>
    </row>
    <row r="64" spans="1:9" x14ac:dyDescent="0.25">
      <c r="A64">
        <v>612</v>
      </c>
      <c r="B64" s="10" t="s">
        <v>795</v>
      </c>
      <c r="C64" t="s">
        <v>187</v>
      </c>
      <c r="D64" t="s">
        <v>200</v>
      </c>
      <c r="E64" t="s">
        <v>47</v>
      </c>
      <c r="F64" t="s">
        <v>420</v>
      </c>
      <c r="G64" t="s">
        <v>92</v>
      </c>
      <c r="H64">
        <v>59</v>
      </c>
      <c r="I64">
        <v>112.4</v>
      </c>
    </row>
    <row r="65" spans="1:9" x14ac:dyDescent="0.25">
      <c r="A65">
        <v>599</v>
      </c>
      <c r="B65" s="10" t="s">
        <v>799</v>
      </c>
      <c r="C65" t="s">
        <v>35</v>
      </c>
      <c r="D65" t="s">
        <v>202</v>
      </c>
      <c r="E65" t="s">
        <v>139</v>
      </c>
      <c r="F65" t="s">
        <v>139</v>
      </c>
      <c r="G65" t="s">
        <v>433</v>
      </c>
      <c r="H65">
        <v>69</v>
      </c>
      <c r="I65">
        <v>111.9</v>
      </c>
    </row>
    <row r="66" spans="1:9" x14ac:dyDescent="0.25">
      <c r="A66">
        <v>552</v>
      </c>
      <c r="B66" s="10" t="s">
        <v>797</v>
      </c>
      <c r="C66" t="s">
        <v>87</v>
      </c>
      <c r="D66" t="s">
        <v>198</v>
      </c>
      <c r="E66" t="s">
        <v>47</v>
      </c>
      <c r="F66" t="s">
        <v>420</v>
      </c>
      <c r="G66" t="s">
        <v>492</v>
      </c>
      <c r="H66">
        <v>53</v>
      </c>
      <c r="I66">
        <v>111.3</v>
      </c>
    </row>
    <row r="67" spans="1:9" x14ac:dyDescent="0.25">
      <c r="A67">
        <v>529</v>
      </c>
      <c r="B67" s="10" t="s">
        <v>803</v>
      </c>
      <c r="C67" t="s">
        <v>204</v>
      </c>
      <c r="D67" t="s">
        <v>205</v>
      </c>
      <c r="E67" t="s">
        <v>47</v>
      </c>
      <c r="F67" t="s">
        <v>420</v>
      </c>
      <c r="G67" t="s">
        <v>92</v>
      </c>
      <c r="H67">
        <v>65</v>
      </c>
      <c r="I67">
        <v>110</v>
      </c>
    </row>
    <row r="68" spans="1:9" x14ac:dyDescent="0.25">
      <c r="A68">
        <v>369</v>
      </c>
      <c r="B68" s="10" t="s">
        <v>803</v>
      </c>
      <c r="C68" t="s">
        <v>114</v>
      </c>
      <c r="D68" t="s">
        <v>207</v>
      </c>
      <c r="E68" t="s">
        <v>136</v>
      </c>
      <c r="F68" t="s">
        <v>583</v>
      </c>
      <c r="G68" t="s">
        <v>420</v>
      </c>
      <c r="H68">
        <v>66</v>
      </c>
      <c r="I68">
        <v>109.1</v>
      </c>
    </row>
    <row r="69" spans="1:9" x14ac:dyDescent="0.25">
      <c r="A69">
        <v>506</v>
      </c>
      <c r="B69" s="10" t="s">
        <v>801</v>
      </c>
      <c r="C69" t="s">
        <v>45</v>
      </c>
      <c r="D69" t="s">
        <v>213</v>
      </c>
      <c r="E69" t="s">
        <v>143</v>
      </c>
      <c r="F69" t="s">
        <v>420</v>
      </c>
      <c r="G69" t="s">
        <v>526</v>
      </c>
      <c r="H69">
        <v>62</v>
      </c>
      <c r="I69">
        <v>109</v>
      </c>
    </row>
    <row r="70" spans="1:9" x14ac:dyDescent="0.25">
      <c r="A70">
        <v>494</v>
      </c>
      <c r="B70" s="10" t="s">
        <v>795</v>
      </c>
      <c r="C70" t="s">
        <v>137</v>
      </c>
      <c r="D70" t="s">
        <v>138</v>
      </c>
      <c r="E70" t="s">
        <v>139</v>
      </c>
      <c r="F70" t="s">
        <v>42</v>
      </c>
      <c r="G70" t="s">
        <v>139</v>
      </c>
      <c r="H70">
        <v>57</v>
      </c>
      <c r="I70">
        <v>108.9</v>
      </c>
    </row>
    <row r="71" spans="1:9" x14ac:dyDescent="0.25">
      <c r="A71">
        <v>283</v>
      </c>
      <c r="B71" s="10" t="s">
        <v>791</v>
      </c>
      <c r="C71" t="s">
        <v>208</v>
      </c>
      <c r="D71" t="s">
        <v>209</v>
      </c>
      <c r="E71" t="s">
        <v>47</v>
      </c>
      <c r="F71" t="s">
        <v>611</v>
      </c>
      <c r="G71" t="s">
        <v>611</v>
      </c>
      <c r="H71">
        <v>63</v>
      </c>
      <c r="I71">
        <v>108.8</v>
      </c>
    </row>
    <row r="72" spans="1:9" x14ac:dyDescent="0.25">
      <c r="A72">
        <v>609</v>
      </c>
      <c r="B72" s="10" t="s">
        <v>800</v>
      </c>
      <c r="C72" t="s">
        <v>29</v>
      </c>
      <c r="D72" t="s">
        <v>211</v>
      </c>
      <c r="E72" t="s">
        <v>37</v>
      </c>
      <c r="F72" t="s">
        <v>420</v>
      </c>
      <c r="G72" t="s">
        <v>139</v>
      </c>
      <c r="H72">
        <v>61</v>
      </c>
      <c r="I72">
        <v>108.5</v>
      </c>
    </row>
    <row r="73" spans="1:9" x14ac:dyDescent="0.25">
      <c r="B73" s="10" t="s">
        <v>802</v>
      </c>
      <c r="C73" t="s">
        <v>123</v>
      </c>
      <c r="D73" t="s">
        <v>402</v>
      </c>
      <c r="E73" t="s">
        <v>37</v>
      </c>
      <c r="F73" t="s">
        <v>420</v>
      </c>
      <c r="G73" t="s">
        <v>31</v>
      </c>
      <c r="I73">
        <v>108</v>
      </c>
    </row>
    <row r="74" spans="1:9" x14ac:dyDescent="0.25">
      <c r="A74">
        <v>511</v>
      </c>
      <c r="B74" s="10" t="s">
        <v>797</v>
      </c>
      <c r="C74" t="s">
        <v>215</v>
      </c>
      <c r="D74" t="s">
        <v>216</v>
      </c>
      <c r="E74" t="s">
        <v>139</v>
      </c>
      <c r="F74" t="s">
        <v>139</v>
      </c>
      <c r="G74" t="s">
        <v>92</v>
      </c>
      <c r="H74">
        <v>63</v>
      </c>
      <c r="I74">
        <v>107.8</v>
      </c>
    </row>
    <row r="75" spans="1:9" x14ac:dyDescent="0.25">
      <c r="A75">
        <v>286</v>
      </c>
      <c r="B75" s="10" t="s">
        <v>798</v>
      </c>
      <c r="C75" t="s">
        <v>218</v>
      </c>
      <c r="D75" t="s">
        <v>219</v>
      </c>
      <c r="E75" t="s">
        <v>139</v>
      </c>
      <c r="F75" t="s">
        <v>139</v>
      </c>
      <c r="G75" t="s">
        <v>31</v>
      </c>
      <c r="H75">
        <v>65</v>
      </c>
      <c r="I75">
        <v>107.5</v>
      </c>
    </row>
    <row r="76" spans="1:9" x14ac:dyDescent="0.25">
      <c r="B76" s="10" t="s">
        <v>802</v>
      </c>
      <c r="C76" t="s">
        <v>215</v>
      </c>
      <c r="D76" t="s">
        <v>404</v>
      </c>
      <c r="E76" t="s">
        <v>31</v>
      </c>
      <c r="F76" t="s">
        <v>92</v>
      </c>
      <c r="G76" t="s">
        <v>139</v>
      </c>
      <c r="I76">
        <v>107</v>
      </c>
    </row>
    <row r="77" spans="1:9" x14ac:dyDescent="0.25">
      <c r="A77">
        <v>342</v>
      </c>
      <c r="B77" s="10" t="s">
        <v>793</v>
      </c>
      <c r="C77" t="s">
        <v>221</v>
      </c>
      <c r="D77" t="s">
        <v>222</v>
      </c>
      <c r="E77" t="s">
        <v>31</v>
      </c>
      <c r="F77" t="s">
        <v>31</v>
      </c>
      <c r="G77" t="s">
        <v>420</v>
      </c>
      <c r="H77">
        <v>56</v>
      </c>
      <c r="I77">
        <v>106.5</v>
      </c>
    </row>
    <row r="78" spans="1:9" x14ac:dyDescent="0.25">
      <c r="A78">
        <v>76</v>
      </c>
      <c r="B78" s="10" t="s">
        <v>801</v>
      </c>
      <c r="C78" t="s">
        <v>66</v>
      </c>
      <c r="D78" t="s">
        <v>236</v>
      </c>
      <c r="E78" t="s">
        <v>139</v>
      </c>
      <c r="F78" t="s">
        <v>139</v>
      </c>
      <c r="G78" t="s">
        <v>420</v>
      </c>
      <c r="H78">
        <v>69</v>
      </c>
      <c r="I78">
        <v>106.4</v>
      </c>
    </row>
    <row r="79" spans="1:9" x14ac:dyDescent="0.25">
      <c r="A79">
        <v>522</v>
      </c>
      <c r="B79" s="10" t="s">
        <v>800</v>
      </c>
      <c r="C79" t="s">
        <v>54</v>
      </c>
      <c r="D79" t="s">
        <v>223</v>
      </c>
      <c r="E79" t="s">
        <v>47</v>
      </c>
      <c r="F79" t="s">
        <v>420</v>
      </c>
      <c r="G79" t="s">
        <v>477</v>
      </c>
      <c r="H79">
        <v>72</v>
      </c>
      <c r="I79">
        <v>106.2</v>
      </c>
    </row>
    <row r="80" spans="1:9" x14ac:dyDescent="0.25">
      <c r="B80" s="10" t="s">
        <v>795</v>
      </c>
      <c r="C80" t="s">
        <v>158</v>
      </c>
      <c r="D80" t="s">
        <v>395</v>
      </c>
      <c r="E80" t="s">
        <v>47</v>
      </c>
      <c r="F80" t="s">
        <v>42</v>
      </c>
      <c r="G80" t="s">
        <v>420</v>
      </c>
      <c r="I80">
        <v>106</v>
      </c>
    </row>
    <row r="81" spans="1:9" x14ac:dyDescent="0.25">
      <c r="A81">
        <v>401</v>
      </c>
      <c r="B81" s="10" t="s">
        <v>802</v>
      </c>
      <c r="C81" t="s">
        <v>225</v>
      </c>
      <c r="D81" t="s">
        <v>226</v>
      </c>
      <c r="E81" t="s">
        <v>42</v>
      </c>
      <c r="F81" t="s">
        <v>42</v>
      </c>
      <c r="G81" t="s">
        <v>31</v>
      </c>
      <c r="H81">
        <v>63</v>
      </c>
      <c r="I81">
        <v>105.9</v>
      </c>
    </row>
    <row r="82" spans="1:9" x14ac:dyDescent="0.25">
      <c r="A82">
        <v>488</v>
      </c>
      <c r="B82" s="10" t="s">
        <v>797</v>
      </c>
      <c r="C82" t="s">
        <v>158</v>
      </c>
      <c r="D82" t="s">
        <v>227</v>
      </c>
      <c r="E82" t="s">
        <v>92</v>
      </c>
      <c r="F82" t="s">
        <v>438</v>
      </c>
      <c r="G82" t="s">
        <v>539</v>
      </c>
      <c r="H82">
        <v>59</v>
      </c>
      <c r="I82">
        <v>105.6</v>
      </c>
    </row>
    <row r="83" spans="1:9" x14ac:dyDescent="0.25">
      <c r="A83">
        <v>280</v>
      </c>
      <c r="B83" s="10" t="s">
        <v>801</v>
      </c>
      <c r="C83" t="s">
        <v>51</v>
      </c>
      <c r="D83" t="s">
        <v>228</v>
      </c>
      <c r="E83" t="s">
        <v>71</v>
      </c>
      <c r="F83" t="s">
        <v>71</v>
      </c>
      <c r="G83" t="s">
        <v>92</v>
      </c>
      <c r="H83">
        <v>64</v>
      </c>
      <c r="I83">
        <v>105.5</v>
      </c>
    </row>
    <row r="84" spans="1:9" x14ac:dyDescent="0.25">
      <c r="A84">
        <v>422</v>
      </c>
      <c r="B84" s="10" t="s">
        <v>798</v>
      </c>
      <c r="C84" t="s">
        <v>230</v>
      </c>
      <c r="D84" t="s">
        <v>231</v>
      </c>
      <c r="E84" t="s">
        <v>31</v>
      </c>
      <c r="F84" t="s">
        <v>42</v>
      </c>
      <c r="G84" t="s">
        <v>31</v>
      </c>
      <c r="H84">
        <v>62</v>
      </c>
      <c r="I84">
        <v>105.4</v>
      </c>
    </row>
    <row r="85" spans="1:9" x14ac:dyDescent="0.25">
      <c r="A85">
        <v>614</v>
      </c>
      <c r="B85" s="10" t="s">
        <v>791</v>
      </c>
      <c r="C85" t="s">
        <v>233</v>
      </c>
      <c r="D85" t="s">
        <v>234</v>
      </c>
      <c r="E85" t="s">
        <v>92</v>
      </c>
      <c r="F85" t="s">
        <v>454</v>
      </c>
      <c r="G85" t="s">
        <v>583</v>
      </c>
      <c r="H85">
        <v>59</v>
      </c>
      <c r="I85">
        <v>105.4</v>
      </c>
    </row>
    <row r="86" spans="1:9" x14ac:dyDescent="0.25">
      <c r="A86">
        <v>457</v>
      </c>
      <c r="B86" s="10" t="s">
        <v>799</v>
      </c>
      <c r="C86" t="s">
        <v>112</v>
      </c>
      <c r="D86" t="s">
        <v>238</v>
      </c>
      <c r="E86" t="s">
        <v>42</v>
      </c>
      <c r="F86" t="s">
        <v>42</v>
      </c>
      <c r="G86" t="s">
        <v>449</v>
      </c>
      <c r="H86">
        <v>56</v>
      </c>
      <c r="I86">
        <v>105.3</v>
      </c>
    </row>
    <row r="87" spans="1:9" x14ac:dyDescent="0.25">
      <c r="A87">
        <v>424</v>
      </c>
      <c r="B87" s="10" t="s">
        <v>796</v>
      </c>
      <c r="C87" t="s">
        <v>248</v>
      </c>
      <c r="D87" t="s">
        <v>249</v>
      </c>
      <c r="E87" t="s">
        <v>192</v>
      </c>
      <c r="F87" t="s">
        <v>192</v>
      </c>
      <c r="G87" t="s">
        <v>192</v>
      </c>
      <c r="H87">
        <v>63</v>
      </c>
      <c r="I87">
        <v>104.8</v>
      </c>
    </row>
    <row r="88" spans="1:9" x14ac:dyDescent="0.25">
      <c r="A88">
        <v>573</v>
      </c>
      <c r="B88" s="10" t="s">
        <v>801</v>
      </c>
      <c r="C88" t="s">
        <v>137</v>
      </c>
      <c r="D88" t="s">
        <v>239</v>
      </c>
      <c r="E88" t="s">
        <v>37</v>
      </c>
      <c r="F88" t="s">
        <v>420</v>
      </c>
      <c r="G88" t="s">
        <v>139</v>
      </c>
      <c r="H88">
        <v>55</v>
      </c>
      <c r="I88">
        <v>104.4</v>
      </c>
    </row>
    <row r="89" spans="1:9" x14ac:dyDescent="0.25">
      <c r="A89">
        <v>579</v>
      </c>
      <c r="B89" s="10" t="s">
        <v>791</v>
      </c>
      <c r="C89" t="s">
        <v>104</v>
      </c>
      <c r="D89" t="s">
        <v>240</v>
      </c>
      <c r="E89" t="s">
        <v>136</v>
      </c>
      <c r="F89" t="s">
        <v>136</v>
      </c>
      <c r="G89" t="s">
        <v>568</v>
      </c>
      <c r="H89">
        <v>60</v>
      </c>
      <c r="I89">
        <v>104.4</v>
      </c>
    </row>
    <row r="90" spans="1:9" x14ac:dyDescent="0.25">
      <c r="A90">
        <v>483</v>
      </c>
      <c r="B90" s="10" t="s">
        <v>800</v>
      </c>
      <c r="C90" t="s">
        <v>245</v>
      </c>
      <c r="D90" t="s">
        <v>246</v>
      </c>
      <c r="E90" t="s">
        <v>139</v>
      </c>
      <c r="F90" t="s">
        <v>42</v>
      </c>
      <c r="G90" t="s">
        <v>466</v>
      </c>
      <c r="H90">
        <v>67</v>
      </c>
      <c r="I90">
        <v>103</v>
      </c>
    </row>
    <row r="91" spans="1:9" x14ac:dyDescent="0.25">
      <c r="A91">
        <v>452</v>
      </c>
      <c r="B91" s="10" t="s">
        <v>794</v>
      </c>
      <c r="C91" t="s">
        <v>46</v>
      </c>
      <c r="D91" t="s">
        <v>255</v>
      </c>
      <c r="E91" t="s">
        <v>47</v>
      </c>
      <c r="F91" t="s">
        <v>425</v>
      </c>
      <c r="G91" t="s">
        <v>425</v>
      </c>
      <c r="H91">
        <v>70</v>
      </c>
      <c r="I91">
        <v>102.5</v>
      </c>
    </row>
    <row r="92" spans="1:9" x14ac:dyDescent="0.25">
      <c r="A92">
        <v>517</v>
      </c>
      <c r="B92" s="10" t="s">
        <v>796</v>
      </c>
      <c r="C92" t="s">
        <v>215</v>
      </c>
      <c r="D92" t="s">
        <v>257</v>
      </c>
      <c r="E92" t="s">
        <v>77</v>
      </c>
      <c r="F92" t="s">
        <v>420</v>
      </c>
      <c r="G92" t="s">
        <v>420</v>
      </c>
      <c r="H92">
        <v>70</v>
      </c>
      <c r="I92">
        <v>102.4</v>
      </c>
    </row>
    <row r="93" spans="1:9" x14ac:dyDescent="0.25">
      <c r="A93">
        <v>525</v>
      </c>
      <c r="B93" s="10" t="s">
        <v>801</v>
      </c>
      <c r="C93" t="s">
        <v>258</v>
      </c>
      <c r="D93" t="s">
        <v>259</v>
      </c>
      <c r="E93" t="s">
        <v>92</v>
      </c>
      <c r="F93" t="s">
        <v>477</v>
      </c>
      <c r="G93" t="s">
        <v>586</v>
      </c>
      <c r="H93">
        <v>59</v>
      </c>
      <c r="I93">
        <v>101.8</v>
      </c>
    </row>
    <row r="94" spans="1:9" x14ac:dyDescent="0.25">
      <c r="A94">
        <v>591</v>
      </c>
      <c r="B94" s="10" t="s">
        <v>794</v>
      </c>
      <c r="C94" t="s">
        <v>158</v>
      </c>
      <c r="D94" t="s">
        <v>263</v>
      </c>
      <c r="E94" t="s">
        <v>136</v>
      </c>
      <c r="F94" t="s">
        <v>539</v>
      </c>
      <c r="G94" t="s">
        <v>459</v>
      </c>
      <c r="H94">
        <v>62</v>
      </c>
      <c r="I94">
        <v>101.2</v>
      </c>
    </row>
    <row r="95" spans="1:9" x14ac:dyDescent="0.25">
      <c r="A95">
        <v>313</v>
      </c>
      <c r="B95" s="10" t="s">
        <v>798</v>
      </c>
      <c r="C95" t="s">
        <v>265</v>
      </c>
      <c r="D95" t="s">
        <v>266</v>
      </c>
      <c r="E95" t="s">
        <v>92</v>
      </c>
      <c r="F95" t="s">
        <v>92</v>
      </c>
      <c r="G95" t="s">
        <v>139</v>
      </c>
      <c r="H95">
        <v>72</v>
      </c>
      <c r="I95">
        <v>101</v>
      </c>
    </row>
    <row r="96" spans="1:9" x14ac:dyDescent="0.25">
      <c r="A96">
        <v>170</v>
      </c>
      <c r="B96" s="10" t="s">
        <v>792</v>
      </c>
      <c r="C96" t="s">
        <v>261</v>
      </c>
      <c r="D96" t="s">
        <v>262</v>
      </c>
      <c r="E96" t="s">
        <v>42</v>
      </c>
      <c r="F96" t="s">
        <v>42</v>
      </c>
      <c r="G96" t="s">
        <v>139</v>
      </c>
      <c r="H96">
        <v>72</v>
      </c>
      <c r="I96">
        <v>100.4</v>
      </c>
    </row>
    <row r="97" spans="1:9" x14ac:dyDescent="0.25">
      <c r="A97">
        <v>547</v>
      </c>
      <c r="B97" s="10" t="s">
        <v>792</v>
      </c>
      <c r="C97" t="s">
        <v>241</v>
      </c>
      <c r="D97" t="s">
        <v>242</v>
      </c>
      <c r="E97" t="s">
        <v>192</v>
      </c>
      <c r="F97" t="s">
        <v>420</v>
      </c>
      <c r="G97" t="s">
        <v>139</v>
      </c>
      <c r="H97">
        <v>62</v>
      </c>
      <c r="I97">
        <v>100.3</v>
      </c>
    </row>
    <row r="98" spans="1:9" x14ac:dyDescent="0.25">
      <c r="A98">
        <v>539</v>
      </c>
      <c r="B98" s="10" t="s">
        <v>801</v>
      </c>
      <c r="C98" t="s">
        <v>112</v>
      </c>
      <c r="D98" t="s">
        <v>270</v>
      </c>
      <c r="E98" t="s">
        <v>71</v>
      </c>
      <c r="F98" t="s">
        <v>601</v>
      </c>
      <c r="G98" t="s">
        <v>477</v>
      </c>
      <c r="H98">
        <v>60</v>
      </c>
      <c r="I98">
        <v>100.2</v>
      </c>
    </row>
    <row r="99" spans="1:9" x14ac:dyDescent="0.25">
      <c r="A99">
        <v>181</v>
      </c>
      <c r="B99" s="10" t="s">
        <v>790</v>
      </c>
      <c r="C99" t="s">
        <v>29</v>
      </c>
      <c r="D99" t="s">
        <v>267</v>
      </c>
      <c r="E99" t="s">
        <v>77</v>
      </c>
      <c r="F99" t="s">
        <v>31</v>
      </c>
      <c r="G99" t="s">
        <v>420</v>
      </c>
      <c r="H99">
        <v>67</v>
      </c>
      <c r="I99">
        <v>100</v>
      </c>
    </row>
    <row r="100" spans="1:9" x14ac:dyDescent="0.25">
      <c r="A100">
        <v>486</v>
      </c>
      <c r="B100" s="10" t="s">
        <v>796</v>
      </c>
      <c r="C100" t="s">
        <v>98</v>
      </c>
      <c r="D100" t="s">
        <v>285</v>
      </c>
      <c r="E100" t="s">
        <v>77</v>
      </c>
      <c r="F100" t="s">
        <v>420</v>
      </c>
      <c r="G100" t="s">
        <v>71</v>
      </c>
      <c r="H100">
        <v>65</v>
      </c>
      <c r="I100">
        <v>100</v>
      </c>
    </row>
    <row r="101" spans="1:9" x14ac:dyDescent="0.25">
      <c r="B101" s="10" t="s">
        <v>791</v>
      </c>
      <c r="C101" t="s">
        <v>120</v>
      </c>
      <c r="D101" t="s">
        <v>411</v>
      </c>
      <c r="E101" t="s">
        <v>47</v>
      </c>
      <c r="F101" t="s">
        <v>420</v>
      </c>
      <c r="G101" t="s">
        <v>92</v>
      </c>
      <c r="I101">
        <v>100</v>
      </c>
    </row>
    <row r="102" spans="1:9" x14ac:dyDescent="0.25">
      <c r="A102">
        <v>175</v>
      </c>
      <c r="B102" s="10" t="s">
        <v>800</v>
      </c>
      <c r="C102" t="s">
        <v>66</v>
      </c>
      <c r="D102" t="s">
        <v>272</v>
      </c>
      <c r="E102" t="s">
        <v>92</v>
      </c>
      <c r="F102" t="s">
        <v>477</v>
      </c>
      <c r="G102" t="s">
        <v>139</v>
      </c>
      <c r="H102">
        <v>67</v>
      </c>
      <c r="I102">
        <v>99.3</v>
      </c>
    </row>
    <row r="103" spans="1:9" x14ac:dyDescent="0.25">
      <c r="A103">
        <v>568</v>
      </c>
      <c r="B103" s="10" t="s">
        <v>798</v>
      </c>
      <c r="C103" t="s">
        <v>273</v>
      </c>
      <c r="D103" t="s">
        <v>274</v>
      </c>
      <c r="E103" t="s">
        <v>47</v>
      </c>
      <c r="F103" t="s">
        <v>420</v>
      </c>
      <c r="G103" t="s">
        <v>477</v>
      </c>
      <c r="H103">
        <v>63</v>
      </c>
      <c r="I103">
        <v>98.7</v>
      </c>
    </row>
    <row r="104" spans="1:9" x14ac:dyDescent="0.25">
      <c r="A104">
        <v>388</v>
      </c>
      <c r="B104" s="10" t="s">
        <v>795</v>
      </c>
      <c r="C104" t="s">
        <v>169</v>
      </c>
      <c r="D104" t="s">
        <v>280</v>
      </c>
      <c r="E104" t="s">
        <v>47</v>
      </c>
      <c r="F104" t="s">
        <v>681</v>
      </c>
      <c r="G104" t="s">
        <v>681</v>
      </c>
      <c r="H104">
        <v>60</v>
      </c>
      <c r="I104">
        <v>98.4</v>
      </c>
    </row>
    <row r="105" spans="1:9" x14ac:dyDescent="0.25">
      <c r="A105">
        <v>260</v>
      </c>
      <c r="B105" s="10" t="s">
        <v>796</v>
      </c>
      <c r="C105" t="s">
        <v>276</v>
      </c>
      <c r="D105" t="s">
        <v>277</v>
      </c>
      <c r="E105" t="s">
        <v>42</v>
      </c>
      <c r="F105" t="s">
        <v>42</v>
      </c>
      <c r="G105" t="s">
        <v>139</v>
      </c>
      <c r="H105">
        <v>69</v>
      </c>
      <c r="I105">
        <v>98.2</v>
      </c>
    </row>
    <row r="106" spans="1:9" x14ac:dyDescent="0.25">
      <c r="A106">
        <v>490</v>
      </c>
      <c r="B106" s="10" t="s">
        <v>797</v>
      </c>
      <c r="C106" t="s">
        <v>45</v>
      </c>
      <c r="D106" t="s">
        <v>278</v>
      </c>
      <c r="E106" t="s">
        <v>47</v>
      </c>
      <c r="F106" t="s">
        <v>420</v>
      </c>
      <c r="G106" t="s">
        <v>92</v>
      </c>
      <c r="H106">
        <v>65</v>
      </c>
      <c r="I106">
        <v>97.9</v>
      </c>
    </row>
    <row r="107" spans="1:9" x14ac:dyDescent="0.25">
      <c r="A107">
        <v>495</v>
      </c>
      <c r="B107" s="10" t="s">
        <v>790</v>
      </c>
      <c r="C107" t="s">
        <v>282</v>
      </c>
      <c r="D107" t="s">
        <v>283</v>
      </c>
      <c r="E107" t="s">
        <v>143</v>
      </c>
      <c r="F107" t="s">
        <v>420</v>
      </c>
      <c r="G107" t="s">
        <v>732</v>
      </c>
      <c r="H107">
        <v>53</v>
      </c>
      <c r="I107">
        <v>97.3</v>
      </c>
    </row>
    <row r="108" spans="1:9" x14ac:dyDescent="0.25">
      <c r="A108">
        <v>553</v>
      </c>
      <c r="B108" s="10" t="s">
        <v>790</v>
      </c>
      <c r="C108" t="s">
        <v>294</v>
      </c>
      <c r="D108" t="s">
        <v>295</v>
      </c>
      <c r="E108" t="s">
        <v>136</v>
      </c>
      <c r="F108" t="s">
        <v>136</v>
      </c>
      <c r="G108" t="s">
        <v>459</v>
      </c>
      <c r="H108">
        <v>69</v>
      </c>
      <c r="I108">
        <v>97</v>
      </c>
    </row>
    <row r="109" spans="1:9" x14ac:dyDescent="0.25">
      <c r="A109">
        <v>432</v>
      </c>
      <c r="B109" s="10" t="s">
        <v>797</v>
      </c>
      <c r="C109" t="s">
        <v>286</v>
      </c>
      <c r="D109" t="s">
        <v>287</v>
      </c>
      <c r="E109" t="s">
        <v>71</v>
      </c>
      <c r="F109" t="s">
        <v>510</v>
      </c>
      <c r="G109" t="s">
        <v>420</v>
      </c>
      <c r="H109">
        <v>70</v>
      </c>
      <c r="I109">
        <v>96.7</v>
      </c>
    </row>
    <row r="110" spans="1:9" x14ac:dyDescent="0.25">
      <c r="A110">
        <v>440</v>
      </c>
      <c r="B110" s="10" t="s">
        <v>793</v>
      </c>
      <c r="C110" t="s">
        <v>289</v>
      </c>
      <c r="D110" t="s">
        <v>290</v>
      </c>
      <c r="E110" t="s">
        <v>92</v>
      </c>
      <c r="F110" t="s">
        <v>92</v>
      </c>
      <c r="G110" t="s">
        <v>31</v>
      </c>
      <c r="H110">
        <v>73</v>
      </c>
      <c r="I110">
        <v>96.5</v>
      </c>
    </row>
    <row r="111" spans="1:9" x14ac:dyDescent="0.25">
      <c r="A111">
        <v>516</v>
      </c>
      <c r="B111" s="10" t="s">
        <v>792</v>
      </c>
      <c r="C111" t="s">
        <v>292</v>
      </c>
      <c r="D111" t="s">
        <v>293</v>
      </c>
      <c r="E111" t="s">
        <v>47</v>
      </c>
      <c r="F111" t="s">
        <v>420</v>
      </c>
      <c r="G111" t="s">
        <v>420</v>
      </c>
      <c r="H111">
        <v>66</v>
      </c>
      <c r="I111">
        <v>96.1</v>
      </c>
    </row>
    <row r="112" spans="1:9" x14ac:dyDescent="0.25">
      <c r="A112">
        <v>576</v>
      </c>
      <c r="B112" s="10" t="s">
        <v>795</v>
      </c>
      <c r="C112" t="s">
        <v>69</v>
      </c>
      <c r="D112" t="s">
        <v>298</v>
      </c>
      <c r="E112" t="s">
        <v>71</v>
      </c>
      <c r="F112" t="s">
        <v>71</v>
      </c>
      <c r="G112" t="s">
        <v>31</v>
      </c>
      <c r="H112">
        <v>60</v>
      </c>
      <c r="I112">
        <v>95.9</v>
      </c>
    </row>
    <row r="113" spans="1:9" x14ac:dyDescent="0.25">
      <c r="A113">
        <v>336</v>
      </c>
      <c r="B113" s="10" t="s">
        <v>801</v>
      </c>
      <c r="C113" t="s">
        <v>276</v>
      </c>
      <c r="D113" t="s">
        <v>304</v>
      </c>
      <c r="E113" t="s">
        <v>143</v>
      </c>
      <c r="F113" t="s">
        <v>420</v>
      </c>
      <c r="G113" t="s">
        <v>92</v>
      </c>
      <c r="H113">
        <v>78</v>
      </c>
      <c r="I113">
        <v>95.4</v>
      </c>
    </row>
    <row r="114" spans="1:9" x14ac:dyDescent="0.25">
      <c r="A114">
        <v>607</v>
      </c>
      <c r="B114" s="10" t="s">
        <v>796</v>
      </c>
      <c r="C114" t="s">
        <v>169</v>
      </c>
      <c r="D114" t="s">
        <v>300</v>
      </c>
      <c r="E114" t="s">
        <v>139</v>
      </c>
      <c r="F114" t="s">
        <v>586</v>
      </c>
      <c r="G114" t="s">
        <v>601</v>
      </c>
      <c r="H114">
        <v>66</v>
      </c>
      <c r="I114">
        <v>95.3</v>
      </c>
    </row>
    <row r="115" spans="1:9" x14ac:dyDescent="0.25">
      <c r="B115" s="10" t="s">
        <v>799</v>
      </c>
      <c r="C115" t="s">
        <v>45</v>
      </c>
      <c r="D115" t="s">
        <v>397</v>
      </c>
      <c r="E115" t="s">
        <v>71</v>
      </c>
      <c r="F115" t="s">
        <v>71</v>
      </c>
      <c r="G115" t="s">
        <v>31</v>
      </c>
      <c r="I115">
        <v>95</v>
      </c>
    </row>
    <row r="116" spans="1:9" x14ac:dyDescent="0.25">
      <c r="A116">
        <v>545</v>
      </c>
      <c r="B116" s="10" t="s">
        <v>795</v>
      </c>
      <c r="C116" t="s">
        <v>90</v>
      </c>
      <c r="D116" t="s">
        <v>302</v>
      </c>
      <c r="E116" t="s">
        <v>92</v>
      </c>
      <c r="F116" t="s">
        <v>92</v>
      </c>
      <c r="G116" t="s">
        <v>136</v>
      </c>
      <c r="H116">
        <v>64</v>
      </c>
      <c r="I116">
        <v>94.5</v>
      </c>
    </row>
    <row r="117" spans="1:9" x14ac:dyDescent="0.25">
      <c r="A117">
        <v>404</v>
      </c>
      <c r="B117" s="10" t="s">
        <v>797</v>
      </c>
      <c r="C117" t="s">
        <v>294</v>
      </c>
      <c r="D117" t="s">
        <v>303</v>
      </c>
      <c r="E117" t="s">
        <v>92</v>
      </c>
      <c r="F117" t="s">
        <v>92</v>
      </c>
      <c r="G117" t="s">
        <v>31</v>
      </c>
      <c r="H117">
        <v>65</v>
      </c>
      <c r="I117">
        <v>94.5</v>
      </c>
    </row>
    <row r="118" spans="1:9" x14ac:dyDescent="0.25">
      <c r="A118">
        <v>319</v>
      </c>
      <c r="B118" s="10" t="s">
        <v>799</v>
      </c>
      <c r="C118" t="s">
        <v>90</v>
      </c>
      <c r="D118" t="s">
        <v>307</v>
      </c>
      <c r="E118" t="s">
        <v>31</v>
      </c>
      <c r="F118" t="s">
        <v>31</v>
      </c>
      <c r="G118" t="s">
        <v>136</v>
      </c>
      <c r="H118">
        <v>70</v>
      </c>
      <c r="I118">
        <v>93.9</v>
      </c>
    </row>
    <row r="119" spans="1:9" x14ac:dyDescent="0.25">
      <c r="A119">
        <v>399</v>
      </c>
      <c r="B119" s="10" t="s">
        <v>798</v>
      </c>
      <c r="C119" t="s">
        <v>289</v>
      </c>
      <c r="D119" t="s">
        <v>306</v>
      </c>
      <c r="E119" t="s">
        <v>92</v>
      </c>
      <c r="F119" t="s">
        <v>31</v>
      </c>
      <c r="G119" t="s">
        <v>709</v>
      </c>
      <c r="H119">
        <v>65</v>
      </c>
      <c r="I119">
        <v>93.3</v>
      </c>
    </row>
    <row r="120" spans="1:9" x14ac:dyDescent="0.25">
      <c r="A120">
        <v>270</v>
      </c>
      <c r="B120" s="10" t="s">
        <v>791</v>
      </c>
      <c r="C120" t="s">
        <v>187</v>
      </c>
      <c r="D120" t="s">
        <v>309</v>
      </c>
      <c r="E120" t="s">
        <v>139</v>
      </c>
      <c r="F120" t="s">
        <v>139</v>
      </c>
      <c r="G120" t="s">
        <v>42</v>
      </c>
      <c r="H120">
        <v>69</v>
      </c>
      <c r="I120">
        <v>92.8</v>
      </c>
    </row>
    <row r="121" spans="1:9" x14ac:dyDescent="0.25">
      <c r="A121">
        <v>438</v>
      </c>
      <c r="B121" s="10" t="s">
        <v>790</v>
      </c>
      <c r="C121" t="s">
        <v>141</v>
      </c>
      <c r="D121" t="s">
        <v>312</v>
      </c>
      <c r="E121" t="s">
        <v>136</v>
      </c>
      <c r="F121" t="s">
        <v>42</v>
      </c>
      <c r="G121" t="s">
        <v>505</v>
      </c>
      <c r="H121">
        <v>61</v>
      </c>
      <c r="I121">
        <v>92.6</v>
      </c>
    </row>
    <row r="122" spans="1:9" x14ac:dyDescent="0.25">
      <c r="A122">
        <v>570</v>
      </c>
      <c r="B122" s="10" t="s">
        <v>797</v>
      </c>
      <c r="C122" t="s">
        <v>313</v>
      </c>
      <c r="D122" t="s">
        <v>314</v>
      </c>
      <c r="E122" t="s">
        <v>47</v>
      </c>
      <c r="F122" t="s">
        <v>420</v>
      </c>
      <c r="G122" t="s">
        <v>139</v>
      </c>
      <c r="H122">
        <v>62</v>
      </c>
      <c r="I122">
        <v>91.9</v>
      </c>
    </row>
    <row r="123" spans="1:9" x14ac:dyDescent="0.25">
      <c r="A123">
        <v>606</v>
      </c>
      <c r="B123" s="10" t="s">
        <v>794</v>
      </c>
      <c r="C123" t="s">
        <v>190</v>
      </c>
      <c r="D123" t="s">
        <v>315</v>
      </c>
      <c r="E123" t="s">
        <v>136</v>
      </c>
      <c r="F123" t="s">
        <v>764</v>
      </c>
      <c r="G123" t="s">
        <v>454</v>
      </c>
      <c r="H123">
        <v>57</v>
      </c>
      <c r="I123">
        <v>91.8</v>
      </c>
    </row>
    <row r="124" spans="1:9" x14ac:dyDescent="0.25">
      <c r="A124">
        <v>202</v>
      </c>
      <c r="B124" s="10" t="s">
        <v>803</v>
      </c>
      <c r="C124" t="s">
        <v>98</v>
      </c>
      <c r="D124" t="s">
        <v>318</v>
      </c>
      <c r="E124" t="s">
        <v>139</v>
      </c>
      <c r="F124" t="s">
        <v>139</v>
      </c>
      <c r="G124" t="s">
        <v>472</v>
      </c>
      <c r="H124">
        <v>70</v>
      </c>
      <c r="I124">
        <v>91.8</v>
      </c>
    </row>
    <row r="125" spans="1:9" x14ac:dyDescent="0.25">
      <c r="A125">
        <v>603</v>
      </c>
      <c r="B125" s="10" t="s">
        <v>793</v>
      </c>
      <c r="C125" t="s">
        <v>51</v>
      </c>
      <c r="D125" t="s">
        <v>319</v>
      </c>
      <c r="E125" t="s">
        <v>47</v>
      </c>
      <c r="F125" t="s">
        <v>420</v>
      </c>
      <c r="G125" t="s">
        <v>420</v>
      </c>
      <c r="H125">
        <v>50</v>
      </c>
      <c r="I125">
        <v>91.3</v>
      </c>
    </row>
    <row r="126" spans="1:9" x14ac:dyDescent="0.25">
      <c r="A126">
        <v>237</v>
      </c>
      <c r="B126" s="10" t="s">
        <v>799</v>
      </c>
      <c r="C126" t="s">
        <v>126</v>
      </c>
      <c r="D126" t="s">
        <v>320</v>
      </c>
      <c r="E126" t="s">
        <v>31</v>
      </c>
      <c r="F126" t="s">
        <v>459</v>
      </c>
      <c r="G126" t="s">
        <v>420</v>
      </c>
      <c r="H126">
        <v>71</v>
      </c>
      <c r="I126">
        <v>91</v>
      </c>
    </row>
    <row r="127" spans="1:9" x14ac:dyDescent="0.25">
      <c r="A127">
        <v>502</v>
      </c>
      <c r="B127" s="10" t="s">
        <v>790</v>
      </c>
      <c r="C127" t="s">
        <v>252</v>
      </c>
      <c r="D127" t="s">
        <v>321</v>
      </c>
      <c r="E127" t="s">
        <v>136</v>
      </c>
      <c r="F127" t="s">
        <v>139</v>
      </c>
      <c r="G127" t="s">
        <v>136</v>
      </c>
      <c r="H127">
        <v>65</v>
      </c>
      <c r="I127">
        <v>90.9</v>
      </c>
    </row>
    <row r="128" spans="1:9" x14ac:dyDescent="0.25">
      <c r="A128">
        <v>469</v>
      </c>
      <c r="B128" s="10" t="s">
        <v>800</v>
      </c>
      <c r="C128" t="s">
        <v>328</v>
      </c>
      <c r="D128" t="s">
        <v>329</v>
      </c>
      <c r="E128" t="s">
        <v>47</v>
      </c>
      <c r="F128" t="s">
        <v>420</v>
      </c>
      <c r="G128" t="s">
        <v>31</v>
      </c>
      <c r="H128">
        <v>69</v>
      </c>
      <c r="I128">
        <v>90.9</v>
      </c>
    </row>
    <row r="129" spans="1:9" x14ac:dyDescent="0.25">
      <c r="A129">
        <v>359</v>
      </c>
      <c r="B129" s="10" t="s">
        <v>799</v>
      </c>
      <c r="C129" t="s">
        <v>98</v>
      </c>
      <c r="D129" t="s">
        <v>323</v>
      </c>
      <c r="E129" t="s">
        <v>143</v>
      </c>
      <c r="F129" t="s">
        <v>420</v>
      </c>
      <c r="G129" t="s">
        <v>420</v>
      </c>
      <c r="H129">
        <v>65</v>
      </c>
      <c r="I129">
        <v>90.2</v>
      </c>
    </row>
    <row r="130" spans="1:9" x14ac:dyDescent="0.25">
      <c r="A130">
        <v>218</v>
      </c>
      <c r="B130" s="10" t="s">
        <v>793</v>
      </c>
      <c r="C130" t="s">
        <v>98</v>
      </c>
      <c r="D130" t="s">
        <v>325</v>
      </c>
      <c r="E130" t="s">
        <v>136</v>
      </c>
      <c r="F130" t="s">
        <v>92</v>
      </c>
      <c r="G130" t="s">
        <v>539</v>
      </c>
      <c r="H130">
        <v>70</v>
      </c>
      <c r="I130">
        <v>90.2</v>
      </c>
    </row>
    <row r="131" spans="1:9" x14ac:dyDescent="0.25">
      <c r="A131">
        <v>210</v>
      </c>
      <c r="B131" s="10" t="s">
        <v>799</v>
      </c>
      <c r="C131" t="s">
        <v>326</v>
      </c>
      <c r="D131" t="s">
        <v>327</v>
      </c>
      <c r="E131" t="s">
        <v>92</v>
      </c>
      <c r="F131" t="s">
        <v>622</v>
      </c>
      <c r="G131" t="s">
        <v>622</v>
      </c>
      <c r="H131">
        <v>79</v>
      </c>
      <c r="I131">
        <v>89.4</v>
      </c>
    </row>
    <row r="132" spans="1:9" x14ac:dyDescent="0.25">
      <c r="A132">
        <v>421</v>
      </c>
      <c r="B132" s="10" t="s">
        <v>800</v>
      </c>
      <c r="C132" t="s">
        <v>35</v>
      </c>
      <c r="D132" t="s">
        <v>331</v>
      </c>
      <c r="E132" t="s">
        <v>192</v>
      </c>
      <c r="F132" t="s">
        <v>676</v>
      </c>
      <c r="G132" t="s">
        <v>568</v>
      </c>
      <c r="H132">
        <v>63</v>
      </c>
      <c r="I132">
        <v>88.5</v>
      </c>
    </row>
    <row r="133" spans="1:9" x14ac:dyDescent="0.25">
      <c r="A133">
        <v>593</v>
      </c>
      <c r="B133" s="10" t="s">
        <v>801</v>
      </c>
      <c r="C133" t="s">
        <v>29</v>
      </c>
      <c r="D133" t="s">
        <v>332</v>
      </c>
      <c r="E133" t="s">
        <v>47</v>
      </c>
      <c r="F133" t="s">
        <v>420</v>
      </c>
      <c r="G133" t="s">
        <v>31</v>
      </c>
      <c r="H133">
        <v>62</v>
      </c>
      <c r="I133">
        <v>88.4</v>
      </c>
    </row>
    <row r="134" spans="1:9" x14ac:dyDescent="0.25">
      <c r="A134">
        <v>528</v>
      </c>
      <c r="B134" s="10" t="s">
        <v>798</v>
      </c>
      <c r="C134" t="s">
        <v>35</v>
      </c>
      <c r="D134" t="s">
        <v>334</v>
      </c>
      <c r="E134" t="s">
        <v>143</v>
      </c>
      <c r="F134" t="s">
        <v>519</v>
      </c>
      <c r="G134" t="s">
        <v>420</v>
      </c>
      <c r="H134">
        <v>59</v>
      </c>
      <c r="I134">
        <v>88</v>
      </c>
    </row>
    <row r="135" spans="1:9" x14ac:dyDescent="0.25">
      <c r="A135">
        <v>561</v>
      </c>
      <c r="B135" s="10" t="s">
        <v>798</v>
      </c>
      <c r="C135" t="s">
        <v>58</v>
      </c>
      <c r="D135" t="s">
        <v>335</v>
      </c>
      <c r="E135" t="s">
        <v>143</v>
      </c>
      <c r="F135" t="s">
        <v>420</v>
      </c>
      <c r="G135" t="s">
        <v>139</v>
      </c>
      <c r="H135">
        <v>59</v>
      </c>
      <c r="I135">
        <v>86.7</v>
      </c>
    </row>
    <row r="136" spans="1:9" x14ac:dyDescent="0.25">
      <c r="A136">
        <v>299</v>
      </c>
      <c r="B136" s="10" t="e" vm="1">
        <v>#VALUE!</v>
      </c>
      <c r="C136" t="s">
        <v>336</v>
      </c>
      <c r="D136" t="s">
        <v>337</v>
      </c>
      <c r="E136" t="s">
        <v>192</v>
      </c>
      <c r="F136" t="s">
        <v>136</v>
      </c>
      <c r="G136" t="s">
        <v>688</v>
      </c>
      <c r="H136">
        <v>70</v>
      </c>
      <c r="I136">
        <v>86.4</v>
      </c>
    </row>
    <row r="137" spans="1:9" x14ac:dyDescent="0.25">
      <c r="A137">
        <v>594</v>
      </c>
      <c r="B137" s="10" t="s">
        <v>795</v>
      </c>
      <c r="C137" t="s">
        <v>339</v>
      </c>
      <c r="D137" t="s">
        <v>340</v>
      </c>
      <c r="E137" t="s">
        <v>136</v>
      </c>
      <c r="F137" t="s">
        <v>136</v>
      </c>
      <c r="G137" t="s">
        <v>477</v>
      </c>
      <c r="H137">
        <v>60</v>
      </c>
      <c r="I137">
        <v>86.4</v>
      </c>
    </row>
    <row r="138" spans="1:9" x14ac:dyDescent="0.25">
      <c r="A138">
        <v>541</v>
      </c>
      <c r="B138" s="10" t="s">
        <v>799</v>
      </c>
      <c r="C138" t="s">
        <v>342</v>
      </c>
      <c r="D138" t="s">
        <v>274</v>
      </c>
      <c r="E138" t="s">
        <v>47</v>
      </c>
      <c r="F138" t="s">
        <v>420</v>
      </c>
      <c r="G138" t="s">
        <v>92</v>
      </c>
      <c r="H138">
        <v>64</v>
      </c>
      <c r="I138">
        <v>85</v>
      </c>
    </row>
    <row r="139" spans="1:9" x14ac:dyDescent="0.25">
      <c r="A139">
        <v>245</v>
      </c>
      <c r="B139" s="10" t="s">
        <v>802</v>
      </c>
      <c r="C139" t="s">
        <v>183</v>
      </c>
      <c r="D139" t="s">
        <v>353</v>
      </c>
      <c r="E139" t="s">
        <v>136</v>
      </c>
      <c r="F139" t="s">
        <v>688</v>
      </c>
      <c r="G139" t="s">
        <v>737</v>
      </c>
      <c r="H139">
        <v>64</v>
      </c>
      <c r="I139">
        <v>84.7</v>
      </c>
    </row>
    <row r="140" spans="1:9" x14ac:dyDescent="0.25">
      <c r="A140">
        <v>70</v>
      </c>
      <c r="B140" s="10" t="s">
        <v>793</v>
      </c>
      <c r="C140" t="s">
        <v>218</v>
      </c>
      <c r="D140" t="s">
        <v>343</v>
      </c>
      <c r="E140" t="s">
        <v>42</v>
      </c>
      <c r="F140" t="s">
        <v>42</v>
      </c>
      <c r="G140" t="s">
        <v>42</v>
      </c>
      <c r="H140">
        <v>76</v>
      </c>
      <c r="I140">
        <v>84.3</v>
      </c>
    </row>
    <row r="141" spans="1:9" x14ac:dyDescent="0.25">
      <c r="A141">
        <v>23</v>
      </c>
      <c r="B141" s="10" t="s">
        <v>793</v>
      </c>
      <c r="C141" t="s">
        <v>54</v>
      </c>
      <c r="D141" t="s">
        <v>355</v>
      </c>
      <c r="E141" t="s">
        <v>192</v>
      </c>
      <c r="F141" t="s">
        <v>568</v>
      </c>
      <c r="G141" t="s">
        <v>136</v>
      </c>
      <c r="H141">
        <v>80</v>
      </c>
      <c r="I141">
        <v>84.3</v>
      </c>
    </row>
    <row r="142" spans="1:9" x14ac:dyDescent="0.25">
      <c r="A142">
        <v>508</v>
      </c>
      <c r="B142" s="10" t="s">
        <v>797</v>
      </c>
      <c r="C142" t="s">
        <v>345</v>
      </c>
      <c r="D142" t="s">
        <v>346</v>
      </c>
      <c r="E142" t="s">
        <v>139</v>
      </c>
      <c r="F142" t="s">
        <v>139</v>
      </c>
      <c r="G142" t="s">
        <v>136</v>
      </c>
      <c r="H142">
        <v>67</v>
      </c>
      <c r="I142">
        <v>84.1</v>
      </c>
    </row>
    <row r="143" spans="1:9" x14ac:dyDescent="0.25">
      <c r="A143">
        <v>427</v>
      </c>
      <c r="B143" s="10" t="s">
        <v>798</v>
      </c>
      <c r="C143" t="s">
        <v>104</v>
      </c>
      <c r="D143" t="s">
        <v>347</v>
      </c>
      <c r="E143" t="s">
        <v>136</v>
      </c>
      <c r="F143" t="s">
        <v>42</v>
      </c>
      <c r="G143" t="s">
        <v>92</v>
      </c>
      <c r="H143">
        <v>69</v>
      </c>
      <c r="I143">
        <v>83.9</v>
      </c>
    </row>
    <row r="144" spans="1:9" x14ac:dyDescent="0.25">
      <c r="A144">
        <v>420</v>
      </c>
      <c r="B144" s="10" t="s">
        <v>802</v>
      </c>
      <c r="C144" t="s">
        <v>282</v>
      </c>
      <c r="D144" t="s">
        <v>349</v>
      </c>
      <c r="E144" t="s">
        <v>139</v>
      </c>
      <c r="F144" t="s">
        <v>92</v>
      </c>
      <c r="G144" t="s">
        <v>139</v>
      </c>
      <c r="H144">
        <v>67</v>
      </c>
      <c r="I144">
        <v>83.9</v>
      </c>
    </row>
    <row r="145" spans="1:9" x14ac:dyDescent="0.25">
      <c r="A145">
        <v>271</v>
      </c>
      <c r="B145" s="10" t="s">
        <v>790</v>
      </c>
      <c r="C145" t="s">
        <v>351</v>
      </c>
      <c r="D145" t="s">
        <v>352</v>
      </c>
      <c r="E145" t="s">
        <v>192</v>
      </c>
      <c r="F145" t="s">
        <v>539</v>
      </c>
      <c r="G145" t="s">
        <v>420</v>
      </c>
      <c r="H145">
        <v>68</v>
      </c>
      <c r="I145">
        <v>83.8</v>
      </c>
    </row>
    <row r="146" spans="1:9" x14ac:dyDescent="0.25">
      <c r="A146">
        <v>133</v>
      </c>
      <c r="B146" s="10" t="s">
        <v>791</v>
      </c>
      <c r="C146" t="s">
        <v>357</v>
      </c>
      <c r="D146" t="s">
        <v>358</v>
      </c>
      <c r="E146" t="s">
        <v>92</v>
      </c>
      <c r="F146" t="s">
        <v>454</v>
      </c>
      <c r="G146" t="s">
        <v>31</v>
      </c>
      <c r="H146">
        <v>69</v>
      </c>
      <c r="I146">
        <v>83.5</v>
      </c>
    </row>
    <row r="147" spans="1:9" x14ac:dyDescent="0.25">
      <c r="A147">
        <v>277</v>
      </c>
      <c r="B147" s="10" t="s">
        <v>794</v>
      </c>
      <c r="C147" t="s">
        <v>218</v>
      </c>
      <c r="D147" t="s">
        <v>360</v>
      </c>
      <c r="E147" t="s">
        <v>143</v>
      </c>
      <c r="F147" t="s">
        <v>441</v>
      </c>
      <c r="G147" t="s">
        <v>441</v>
      </c>
      <c r="H147">
        <v>68</v>
      </c>
      <c r="I147">
        <v>83</v>
      </c>
    </row>
    <row r="148" spans="1:9" x14ac:dyDescent="0.25">
      <c r="A148">
        <v>423</v>
      </c>
      <c r="B148" s="10" t="s">
        <v>792</v>
      </c>
      <c r="C148" t="s">
        <v>187</v>
      </c>
      <c r="D148" t="s">
        <v>361</v>
      </c>
      <c r="E148" t="s">
        <v>192</v>
      </c>
      <c r="F148" t="s">
        <v>139</v>
      </c>
      <c r="G148" t="s">
        <v>568</v>
      </c>
      <c r="H148">
        <v>61</v>
      </c>
      <c r="I148">
        <v>81.5</v>
      </c>
    </row>
    <row r="149" spans="1:9" x14ac:dyDescent="0.25">
      <c r="A149">
        <v>204</v>
      </c>
      <c r="B149" s="10" t="s">
        <v>803</v>
      </c>
      <c r="C149" t="s">
        <v>362</v>
      </c>
      <c r="D149" t="s">
        <v>363</v>
      </c>
      <c r="E149" t="s">
        <v>192</v>
      </c>
      <c r="F149" t="s">
        <v>192</v>
      </c>
      <c r="G149" t="s">
        <v>420</v>
      </c>
      <c r="H149">
        <v>75</v>
      </c>
      <c r="I149">
        <v>81</v>
      </c>
    </row>
    <row r="150" spans="1:9" x14ac:dyDescent="0.25">
      <c r="A150">
        <v>187</v>
      </c>
      <c r="B150" s="10" t="s">
        <v>803</v>
      </c>
      <c r="C150" t="s">
        <v>369</v>
      </c>
      <c r="D150" t="s">
        <v>370</v>
      </c>
      <c r="E150" t="s">
        <v>42</v>
      </c>
      <c r="F150" t="s">
        <v>486</v>
      </c>
      <c r="G150" t="s">
        <v>487</v>
      </c>
      <c r="H150">
        <v>72</v>
      </c>
      <c r="I150">
        <v>80.099999999999994</v>
      </c>
    </row>
    <row r="151" spans="1:9" x14ac:dyDescent="0.25">
      <c r="A151">
        <v>487</v>
      </c>
      <c r="B151" s="10" t="e" vm="1">
        <v>#VALUE!</v>
      </c>
      <c r="C151" t="s">
        <v>365</v>
      </c>
      <c r="D151" t="s">
        <v>366</v>
      </c>
      <c r="E151" t="s">
        <v>192</v>
      </c>
      <c r="F151" t="s">
        <v>139</v>
      </c>
      <c r="G151" t="s">
        <v>420</v>
      </c>
      <c r="H151">
        <v>69</v>
      </c>
      <c r="I151">
        <v>77.900000000000006</v>
      </c>
    </row>
    <row r="152" spans="1:9" x14ac:dyDescent="0.25">
      <c r="A152">
        <v>376</v>
      </c>
      <c r="B152" s="10" t="e" vm="1">
        <v>#VALUE!</v>
      </c>
      <c r="C152" t="s">
        <v>367</v>
      </c>
      <c r="D152" t="s">
        <v>368</v>
      </c>
      <c r="E152" t="s">
        <v>192</v>
      </c>
      <c r="F152" t="s">
        <v>139</v>
      </c>
      <c r="G152" t="s">
        <v>192</v>
      </c>
      <c r="H152">
        <v>67</v>
      </c>
      <c r="I152">
        <v>77.599999999999994</v>
      </c>
    </row>
    <row r="153" spans="1:9" x14ac:dyDescent="0.25">
      <c r="A153">
        <v>131</v>
      </c>
      <c r="B153" s="10" t="s">
        <v>803</v>
      </c>
      <c r="C153" t="s">
        <v>215</v>
      </c>
      <c r="D153" t="s">
        <v>374</v>
      </c>
      <c r="E153" t="s">
        <v>42</v>
      </c>
      <c r="F153" t="s">
        <v>42</v>
      </c>
      <c r="G153" t="s">
        <v>139</v>
      </c>
      <c r="H153">
        <v>72</v>
      </c>
      <c r="I153">
        <v>76.8</v>
      </c>
    </row>
    <row r="154" spans="1:9" x14ac:dyDescent="0.25">
      <c r="A154">
        <v>251</v>
      </c>
      <c r="B154" s="10" t="e" vm="1">
        <v>#VALUE!</v>
      </c>
      <c r="C154" t="s">
        <v>98</v>
      </c>
      <c r="D154" t="s">
        <v>372</v>
      </c>
      <c r="E154" t="s">
        <v>192</v>
      </c>
      <c r="F154" t="s">
        <v>139</v>
      </c>
      <c r="G154" t="s">
        <v>42</v>
      </c>
      <c r="H154">
        <v>69</v>
      </c>
      <c r="I154">
        <v>76.400000000000006</v>
      </c>
    </row>
    <row r="155" spans="1:9" x14ac:dyDescent="0.25">
      <c r="A155">
        <v>466</v>
      </c>
      <c r="B155" s="10" t="s">
        <v>792</v>
      </c>
      <c r="C155" t="s">
        <v>376</v>
      </c>
      <c r="D155" t="s">
        <v>377</v>
      </c>
      <c r="E155" t="s">
        <v>192</v>
      </c>
      <c r="F155" t="s">
        <v>136</v>
      </c>
      <c r="G155" t="s">
        <v>92</v>
      </c>
      <c r="H155">
        <v>65</v>
      </c>
      <c r="I155">
        <v>76.3</v>
      </c>
    </row>
    <row r="156" spans="1:9" x14ac:dyDescent="0.25">
      <c r="A156">
        <v>358</v>
      </c>
      <c r="B156" s="10" t="e" vm="1">
        <v>#VALUE!</v>
      </c>
      <c r="C156" t="s">
        <v>126</v>
      </c>
      <c r="D156" t="s">
        <v>379</v>
      </c>
      <c r="E156" t="s">
        <v>136</v>
      </c>
      <c r="F156" t="s">
        <v>136</v>
      </c>
      <c r="G156" t="s">
        <v>139</v>
      </c>
      <c r="H156">
        <v>67</v>
      </c>
      <c r="I156">
        <v>75.5</v>
      </c>
    </row>
    <row r="157" spans="1:9" x14ac:dyDescent="0.25">
      <c r="A157">
        <v>361</v>
      </c>
      <c r="B157" s="10" t="s">
        <v>796</v>
      </c>
      <c r="C157" t="s">
        <v>289</v>
      </c>
      <c r="D157" t="s">
        <v>384</v>
      </c>
      <c r="E157" t="s">
        <v>47</v>
      </c>
      <c r="F157" t="s">
        <v>420</v>
      </c>
      <c r="G157" t="s">
        <v>420</v>
      </c>
      <c r="H157">
        <v>65</v>
      </c>
      <c r="I157">
        <v>75.3</v>
      </c>
    </row>
    <row r="158" spans="1:9" x14ac:dyDescent="0.25">
      <c r="A158">
        <v>243</v>
      </c>
      <c r="B158" s="10" t="e" vm="1">
        <v>#VALUE!</v>
      </c>
      <c r="C158" t="s">
        <v>339</v>
      </c>
      <c r="D158" t="s">
        <v>381</v>
      </c>
      <c r="E158" t="s">
        <v>192</v>
      </c>
      <c r="F158" t="s">
        <v>466</v>
      </c>
      <c r="G158" t="s">
        <v>467</v>
      </c>
      <c r="H158">
        <v>76</v>
      </c>
      <c r="I158">
        <v>75.2</v>
      </c>
    </row>
    <row r="159" spans="1:9" x14ac:dyDescent="0.25">
      <c r="A159">
        <v>345</v>
      </c>
      <c r="B159" s="10" t="e" vm="1">
        <v>#VALUE!</v>
      </c>
      <c r="C159" t="s">
        <v>187</v>
      </c>
      <c r="D159" t="s">
        <v>383</v>
      </c>
      <c r="E159" t="s">
        <v>192</v>
      </c>
      <c r="F159" t="s">
        <v>42</v>
      </c>
      <c r="G159" t="s">
        <v>139</v>
      </c>
      <c r="H159">
        <v>69</v>
      </c>
      <c r="I159">
        <v>74.8</v>
      </c>
    </row>
    <row r="160" spans="1:9" x14ac:dyDescent="0.25">
      <c r="A160">
        <v>250</v>
      </c>
      <c r="B160" s="10" t="e" vm="1">
        <v>#VALUE!</v>
      </c>
      <c r="C160" t="s">
        <v>58</v>
      </c>
      <c r="D160" t="s">
        <v>386</v>
      </c>
      <c r="E160" t="s">
        <v>192</v>
      </c>
      <c r="F160" t="s">
        <v>42</v>
      </c>
      <c r="G160" t="s">
        <v>139</v>
      </c>
      <c r="H160">
        <v>68</v>
      </c>
      <c r="I160">
        <v>72.900000000000006</v>
      </c>
    </row>
    <row r="161" spans="1:9" x14ac:dyDescent="0.25">
      <c r="A161">
        <v>385</v>
      </c>
      <c r="B161" s="10" t="e" vm="1">
        <v>#VALUE!</v>
      </c>
      <c r="C161" t="s">
        <v>388</v>
      </c>
      <c r="D161" t="s">
        <v>389</v>
      </c>
      <c r="E161" t="s">
        <v>92</v>
      </c>
      <c r="F161" t="s">
        <v>92</v>
      </c>
      <c r="G161" t="s">
        <v>192</v>
      </c>
      <c r="H161">
        <v>67</v>
      </c>
      <c r="I161">
        <v>72.900000000000006</v>
      </c>
    </row>
    <row r="162" spans="1:9" x14ac:dyDescent="0.25">
      <c r="A162">
        <v>75</v>
      </c>
      <c r="B162" s="10" t="e" vm="1">
        <v>#VALUE!</v>
      </c>
      <c r="C162" t="s">
        <v>390</v>
      </c>
      <c r="D162" t="s">
        <v>391</v>
      </c>
      <c r="E162" t="s">
        <v>192</v>
      </c>
      <c r="F162" t="s">
        <v>568</v>
      </c>
      <c r="G162" t="s">
        <v>472</v>
      </c>
      <c r="H162">
        <v>78</v>
      </c>
      <c r="I162">
        <v>72</v>
      </c>
    </row>
    <row r="163" spans="1:9" x14ac:dyDescent="0.25">
      <c r="A163">
        <v>315</v>
      </c>
      <c r="B163" s="10" t="s">
        <v>795</v>
      </c>
      <c r="C163" t="s">
        <v>123</v>
      </c>
      <c r="D163" t="s">
        <v>392</v>
      </c>
      <c r="E163" t="s">
        <v>42</v>
      </c>
      <c r="F163" t="s">
        <v>42</v>
      </c>
      <c r="G163" t="s">
        <v>42</v>
      </c>
      <c r="H163">
        <v>74</v>
      </c>
      <c r="I163">
        <v>66.5</v>
      </c>
    </row>
    <row r="164" spans="1:9" x14ac:dyDescent="0.25">
      <c r="A164">
        <v>515</v>
      </c>
      <c r="B164" s="10" t="s">
        <v>801</v>
      </c>
      <c r="C164" t="s">
        <v>282</v>
      </c>
      <c r="D164" t="s">
        <v>394</v>
      </c>
      <c r="E164" t="s">
        <v>42</v>
      </c>
      <c r="F164" t="s">
        <v>42</v>
      </c>
      <c r="G164" t="s">
        <v>139</v>
      </c>
      <c r="H164">
        <v>57</v>
      </c>
      <c r="I164">
        <v>60.2</v>
      </c>
    </row>
    <row r="165" spans="1:9" x14ac:dyDescent="0.25">
      <c r="A165">
        <v>343</v>
      </c>
      <c r="B165" s="10" t="s">
        <v>794</v>
      </c>
      <c r="C165" t="s">
        <v>252</v>
      </c>
      <c r="D165" t="s">
        <v>253</v>
      </c>
      <c r="E165" t="s">
        <v>192</v>
      </c>
      <c r="F165" t="s">
        <v>420</v>
      </c>
      <c r="G165" t="s">
        <v>477</v>
      </c>
      <c r="H165">
        <v>64</v>
      </c>
      <c r="I165">
        <v>102.8</v>
      </c>
    </row>
  </sheetData>
  <sortState xmlns:xlrd2="http://schemas.microsoft.com/office/spreadsheetml/2017/richdata2" ref="L2:P16">
    <sortCondition ref="L2:L16"/>
    <sortCondition descending="1" ref="P2:P16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rankings</vt:lpstr>
      <vt:lpstr>Sheet1</vt:lpstr>
      <vt:lpstr>Teams</vt:lpstr>
      <vt:lpstr>Contact_Info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Jamie Hall</cp:lastModifiedBy>
  <dcterms:created xsi:type="dcterms:W3CDTF">2025-11-26T10:17:42Z</dcterms:created>
  <dcterms:modified xsi:type="dcterms:W3CDTF">2025-12-12T18:39:03Z</dcterms:modified>
</cp:coreProperties>
</file>